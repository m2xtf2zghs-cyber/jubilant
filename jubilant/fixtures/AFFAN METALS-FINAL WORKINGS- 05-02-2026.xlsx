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Z:\FILE WORKING\2026\FEB WORKING\05-02-2026\AFFAN METALS\"/>
    </mc:Choice>
  </mc:AlternateContent>
  <bookViews>
    <workbookView xWindow="0" yWindow="0" windowWidth="28800" windowHeight="10080" tabRatio="841" activeTab="8"/>
  </bookViews>
  <sheets>
    <sheet name="ANALYSIS" sheetId="1" r:id="rId1"/>
    <sheet name="ODD FIG" sheetId="4" r:id="rId2"/>
    <sheet name="DOUBT" sheetId="5" r:id="rId3"/>
    <sheet name="BANK FIN" sheetId="6" r:id="rId4"/>
    <sheet name="PVT FIN" sheetId="7" r:id="rId5"/>
    <sheet name="RETURN" sheetId="8" r:id="rId6"/>
    <sheet name="PIVOT-TMB-5048-CA" sheetId="3" r:id="rId7"/>
    <sheet name="XNS-TMB-5048-CA" sheetId="2" r:id="rId8"/>
    <sheet name="PIVOT-TMB-0123-OD" sheetId="11" r:id="rId9"/>
    <sheet name="XNS-TMB-0123-OD" sheetId="12" r:id="rId10"/>
    <sheet name="CONS" sheetId="9" r:id="rId11"/>
    <sheet name="FINAL" sheetId="10" r:id="rId12"/>
  </sheets>
  <definedNames>
    <definedName name="_xlnm._FilterDatabase" localSheetId="7" hidden="1">'XNS-TMB-5048-CA'!$A$1:$J$717</definedName>
  </definedNames>
  <calcPr calcId="162913"/>
  <pivotCaches>
    <pivotCache cacheId="441" r:id="rId13"/>
    <pivotCache cacheId="442" r:id="rId14"/>
  </pivotCaches>
</workbook>
</file>

<file path=xl/calcChain.xml><?xml version="1.0" encoding="utf-8"?>
<calcChain xmlns="http://schemas.openxmlformats.org/spreadsheetml/2006/main">
  <c r="G82" i="7" l="1"/>
  <c r="F77" i="7"/>
  <c r="G69" i="7"/>
  <c r="F69" i="7"/>
  <c r="F57" i="6"/>
  <c r="I107" i="1"/>
  <c r="I106" i="1"/>
  <c r="I105" i="1"/>
  <c r="I104" i="1"/>
  <c r="I103" i="1"/>
  <c r="I102" i="1"/>
  <c r="I101" i="1"/>
  <c r="H100" i="1"/>
  <c r="G100" i="1"/>
  <c r="F100" i="1"/>
  <c r="E100" i="1"/>
  <c r="D100" i="1"/>
  <c r="C100" i="1"/>
  <c r="I100" i="1" s="1"/>
  <c r="H99" i="1"/>
  <c r="G99" i="1"/>
  <c r="F99" i="1"/>
  <c r="E99" i="1"/>
  <c r="D99" i="1"/>
  <c r="C99" i="1"/>
  <c r="I99" i="1" s="1"/>
  <c r="I98" i="1"/>
  <c r="I97" i="1"/>
  <c r="H96" i="1"/>
  <c r="G96" i="1"/>
  <c r="F96" i="1"/>
  <c r="E96" i="1"/>
  <c r="D96" i="1"/>
  <c r="C96" i="1"/>
  <c r="I96" i="1" s="1"/>
  <c r="H95" i="1"/>
  <c r="G95" i="1"/>
  <c r="F95" i="1"/>
  <c r="E95" i="1"/>
  <c r="D95" i="1"/>
  <c r="C95" i="1"/>
  <c r="I95" i="1" s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17" i="9"/>
  <c r="I15" i="9"/>
  <c r="I13" i="9"/>
  <c r="I11" i="9"/>
  <c r="I9" i="9"/>
  <c r="I7" i="9"/>
  <c r="F17" i="9"/>
  <c r="F15" i="9"/>
  <c r="F13" i="9"/>
  <c r="F11" i="9"/>
  <c r="F9" i="9"/>
  <c r="F7" i="9"/>
  <c r="F33" i="7" l="1"/>
  <c r="F25" i="7" l="1"/>
  <c r="G17" i="7"/>
  <c r="F17" i="7"/>
  <c r="F10" i="7"/>
  <c r="F32" i="6"/>
  <c r="F23" i="6"/>
  <c r="G14" i="6"/>
  <c r="F14" i="6"/>
  <c r="H11" i="9"/>
  <c r="H9" i="9"/>
  <c r="E9" i="9"/>
  <c r="H7" i="9"/>
  <c r="E7" i="9"/>
  <c r="H17" i="9"/>
  <c r="E17" i="9"/>
  <c r="H15" i="9"/>
  <c r="E15" i="9"/>
  <c r="H13" i="9"/>
  <c r="E13" i="9"/>
  <c r="E11" i="9"/>
  <c r="G11" i="9" l="1"/>
  <c r="G13" i="9"/>
  <c r="J13" i="9"/>
  <c r="G15" i="9"/>
  <c r="J15" i="9"/>
  <c r="G17" i="9"/>
  <c r="J17" i="9"/>
  <c r="G7" i="9"/>
  <c r="J7" i="9"/>
  <c r="G9" i="9"/>
  <c r="J9" i="9"/>
  <c r="J11" i="9"/>
  <c r="I46" i="1"/>
  <c r="I45" i="1"/>
  <c r="I44" i="1"/>
  <c r="I43" i="1"/>
  <c r="I42" i="1"/>
  <c r="I41" i="1"/>
  <c r="I40" i="1"/>
  <c r="H39" i="1"/>
  <c r="G39" i="1"/>
  <c r="F39" i="1"/>
  <c r="E39" i="1"/>
  <c r="D39" i="1"/>
  <c r="C39" i="1"/>
  <c r="I39" i="1" s="1"/>
  <c r="H38" i="1"/>
  <c r="G38" i="1"/>
  <c r="F38" i="1"/>
  <c r="E38" i="1"/>
  <c r="D38" i="1"/>
  <c r="C38" i="1"/>
  <c r="I38" i="1" s="1"/>
  <c r="I37" i="1"/>
  <c r="I36" i="1"/>
  <c r="H35" i="1"/>
  <c r="G35" i="1"/>
  <c r="F35" i="1"/>
  <c r="E35" i="1"/>
  <c r="D35" i="1"/>
  <c r="C35" i="1"/>
  <c r="I35" i="1" s="1"/>
  <c r="H34" i="1"/>
  <c r="G34" i="1"/>
  <c r="F34" i="1"/>
  <c r="E34" i="1"/>
  <c r="D34" i="1"/>
  <c r="C34" i="1"/>
  <c r="I34" i="1" s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J19" i="9" l="1"/>
  <c r="G19" i="9"/>
</calcChain>
</file>

<file path=xl/sharedStrings.xml><?xml version="1.0" encoding="utf-8"?>
<sst xmlns="http://schemas.openxmlformats.org/spreadsheetml/2006/main" count="5381" uniqueCount="1225">
  <si>
    <t>Summary Info</t>
  </si>
  <si>
    <t>Name of the Account Holder</t>
  </si>
  <si>
    <t>AFFAN METALS</t>
  </si>
  <si>
    <t>Address</t>
  </si>
  <si>
    <t>XXXXXXXXXXXXXXXXXXXXXXXXXXXXXXXXXXXXXXXXXXXXXXXXXXXXXXXXXXXXXXXXXXXXXXXXX</t>
  </si>
  <si>
    <t>Email</t>
  </si>
  <si>
    <t>PAN</t>
  </si>
  <si>
    <t>Mobile Number</t>
  </si>
  <si>
    <t>Name of the Bank</t>
  </si>
  <si>
    <t>Tamilnad Mercantile Bank Ltd., India</t>
  </si>
  <si>
    <t>Account Number</t>
  </si>
  <si>
    <t>XXXXXXXXXX75048</t>
  </si>
  <si>
    <t>Account Type</t>
  </si>
  <si>
    <t>Current Account</t>
  </si>
  <si>
    <t>Monthwise Details</t>
  </si>
  <si>
    <t>Aug-25</t>
  </si>
  <si>
    <t>Sep-25</t>
  </si>
  <si>
    <t>Oct-25</t>
  </si>
  <si>
    <t>Nov-25</t>
  </si>
  <si>
    <t>Dec-25</t>
  </si>
  <si>
    <t>Jan-26</t>
  </si>
  <si>
    <t>TOTAL</t>
  </si>
  <si>
    <t>Total No. of Credit Transactions</t>
  </si>
  <si>
    <t>Total Amount of Credit Transactions</t>
  </si>
  <si>
    <t>Total No. of Debit Transactions</t>
  </si>
  <si>
    <t>Total Amount of Debit Transactions</t>
  </si>
  <si>
    <t>Total No. of Cash Deposits</t>
  </si>
  <si>
    <t>Total Amount of Cash Deposits</t>
  </si>
  <si>
    <t>Total No. of Cash Withdrawals</t>
  </si>
  <si>
    <t>Total Amount of Cash Withdrawals</t>
  </si>
  <si>
    <t>Total No. of Cheque Deposits</t>
  </si>
  <si>
    <t>Total Amount of Cheque Deposits</t>
  </si>
  <si>
    <t>Total No. of Cheque Issues</t>
  </si>
  <si>
    <t>Total Amount of Cheque Issues</t>
  </si>
  <si>
    <t>Total No. of Inward Cheque Bounces</t>
  </si>
  <si>
    <t>Total No. of Outward Cheque Bounces</t>
  </si>
  <si>
    <t>Penal charges/bounced charges</t>
  </si>
  <si>
    <t>Sanction Limit</t>
  </si>
  <si>
    <t>Drawing Power Limit</t>
  </si>
  <si>
    <t xml:space="preserve">Balance on 10th </t>
  </si>
  <si>
    <t xml:space="preserve">Balance on 20th </t>
  </si>
  <si>
    <t xml:space="preserve">Balance on last day </t>
  </si>
  <si>
    <t>Monthwise Peak delay of overdrawing days</t>
  </si>
  <si>
    <t>Inward Cheque Return (%)</t>
  </si>
  <si>
    <t>Outward Cheque Return (%)</t>
  </si>
  <si>
    <t>Overdrawn Instances No. of days</t>
  </si>
  <si>
    <t>Overdrawn Amount(for all days)</t>
  </si>
  <si>
    <t>Overdrawn Average Amount</t>
  </si>
  <si>
    <t>Overdrawn Average as % of Limit</t>
  </si>
  <si>
    <t>Total Delay in Interest Payment (in days)</t>
  </si>
  <si>
    <t>Penal Interest &gt; Rs. 500/- No. of times</t>
  </si>
  <si>
    <t>No of Tranfers from Own Accounts</t>
  </si>
  <si>
    <t>Value of Transfer from Own Accounts (Rs. lakhs)</t>
  </si>
  <si>
    <t>Balance on 5th</t>
  </si>
  <si>
    <t>Balance on 15th</t>
  </si>
  <si>
    <t>Balance on 25th</t>
  </si>
  <si>
    <t>Min EOD Balance</t>
  </si>
  <si>
    <t>Max EOD Balance</t>
  </si>
  <si>
    <t>Average EOD Balance</t>
  </si>
  <si>
    <t>File Name</t>
  </si>
  <si>
    <t>Institution</t>
  </si>
  <si>
    <t>Account No</t>
  </si>
  <si>
    <t>Transaction Start Date</t>
  </si>
  <si>
    <t>Transaction End Date</t>
  </si>
  <si>
    <t>Name as in Statement</t>
  </si>
  <si>
    <t>Address as in Statement</t>
  </si>
  <si>
    <t>Mobile as in Statement</t>
  </si>
  <si>
    <t>Landline as in Statement</t>
  </si>
  <si>
    <t>Email as in Statement</t>
  </si>
  <si>
    <t>PAN as in Statement</t>
  </si>
  <si>
    <t>Password Protected</t>
  </si>
  <si>
    <t>Statement Status</t>
  </si>
  <si>
    <t>Perfios Transaction Id</t>
  </si>
  <si>
    <t>AffanTMBCAAug2025toJan2026190126.pdf</t>
  </si>
  <si>
    <t>XXXXXXXXXXX5048</t>
  </si>
  <si>
    <t/>
  </si>
  <si>
    <t>No</t>
  </si>
  <si>
    <t>VERIFIED</t>
  </si>
  <si>
    <t>99ZN1770283626523</t>
  </si>
  <si>
    <t>Sl. No.</t>
  </si>
  <si>
    <t>Date</t>
  </si>
  <si>
    <t>MONTH</t>
  </si>
  <si>
    <t>TYPE</t>
  </si>
  <si>
    <t>Cheque_No</t>
  </si>
  <si>
    <t>Category</t>
  </si>
  <si>
    <t>Description</t>
  </si>
  <si>
    <t>DR</t>
  </si>
  <si>
    <t>CR</t>
  </si>
  <si>
    <t>Balance</t>
  </si>
  <si>
    <t>AUG</t>
  </si>
  <si>
    <t>RTGS/METAL AND SC/HDFCR52025080196730628</t>
  </si>
  <si>
    <t>SIS CON</t>
  </si>
  <si>
    <t>VEERA INDUSTRIES-TMB-0123-OD</t>
  </si>
  <si>
    <t>TR/CHEPA/VEERAVINDUSTRIES (Ref# 1544058)</t>
  </si>
  <si>
    <t>RTGS/MTC BUSINESS/HDFCR52025080196836729</t>
  </si>
  <si>
    <t>TR/CHEPA/VEERA INDUSTRIES</t>
  </si>
  <si>
    <t>RTGS/SAMVARDHANA /TMBLR52025080100480511 (Ref# 1544059)</t>
  </si>
  <si>
    <t>NEFT/METAL AND SCRAP TR/HDFCH00398392264</t>
  </si>
  <si>
    <t>TR/CHEPA/ILAKKIA (Ref# 1544060)</t>
  </si>
  <si>
    <t>RTGS/SAMVARDHANA /TMBLR52025080400763940 (Ref# 1544061)</t>
  </si>
  <si>
    <t>NEFT/SURESH BABU D/TMBLH25216790013 (Ref# 1544062)</t>
  </si>
  <si>
    <t>eBank/Tr From VEERA INDUSTRIES / TRANSFER TO AFFAN</t>
  </si>
  <si>
    <t>eBank/Tr To K S S ENTERPRISES / TRANSFER TO KSS</t>
  </si>
  <si>
    <t>IMPS/K R SRINIVASAN/521709099587/ICIC/testac</t>
  </si>
  <si>
    <t>RTGS/METAL AND SC/HDFCR52025080597844065</t>
  </si>
  <si>
    <t>RTGS/RAMAJAYAM/TMBLR52025080500909634</t>
  </si>
  <si>
    <t>NEFT/SARAVANAN M/TMBLH25217909770</t>
  </si>
  <si>
    <t>NEFT/KANNAN/TMBLH25217912535</t>
  </si>
  <si>
    <t>NEFT/PANDURANGAN/TMBLH25217912752</t>
  </si>
  <si>
    <t>NEFT/vinod kumar/TMBLH25217912843</t>
  </si>
  <si>
    <t>RTGS/K R SRINIVAS/ICICR42025080500527147</t>
  </si>
  <si>
    <t>TR/CHEPA/DEVARAJU RAJAMAIKKAM (Ref# 1544064)</t>
  </si>
  <si>
    <t>NEFT/G PREETHI/TMBLH25217926757 (Ref# 1544063)</t>
  </si>
  <si>
    <t>RTGS/SMS And Assemblies/TMBLR52025080500926949</t>
  </si>
  <si>
    <t>eBank/613285161/MR.XAVIER HOME EB</t>
  </si>
  <si>
    <t>TR/CHEPA/VEERA INDUSTRIES (Ref# 1544071)</t>
  </si>
  <si>
    <t>RTGS/METAL AND SC/HDFCR52025080698347462</t>
  </si>
  <si>
    <t>IMPS/DHANUPRAKASH/521813310106/HDFC/Payment</t>
  </si>
  <si>
    <t>RTGS/MTC BUSINESS/HDFCR52025080698318817</t>
  </si>
  <si>
    <t>RTGS/VENKATESAN/CBINR52025080610009959</t>
  </si>
  <si>
    <t>RTGS/VELMURUHAN/SBINR52025080694604171</t>
  </si>
  <si>
    <t>RTGS/SAMVARDHANA /TMBLR52025080600104246 (Ref# 1544072)</t>
  </si>
  <si>
    <t>NEFT/DHANUPRAKASH/HDFCH00407581852</t>
  </si>
  <si>
    <t>NEFT/PUSHPANATAHAN/SBIN425218954034</t>
  </si>
  <si>
    <t>eBank/Tr To VEERA INDUSTRIES / TRANSFER TO VEERA</t>
  </si>
  <si>
    <t>Tax</t>
  </si>
  <si>
    <t>eBank/CBDT/25080600651839</t>
  </si>
  <si>
    <t>RTGS/METAL AND SC/HDFCR52025080798643258</t>
  </si>
  <si>
    <t>RTGS/MTC BUSINESS/HDFCR52025080798727334</t>
  </si>
  <si>
    <t>RTGS/P T GOPINATH/SBINR52025080794724463</t>
  </si>
  <si>
    <t>NEFT/BADRINATH/TMBLH25219236399 (Ref# 1544074)</t>
  </si>
  <si>
    <t>TR/CHEPA/VEERA INDUSTRIES (Ref# 1544076)</t>
  </si>
  <si>
    <t>TR/CHEPA/K S S ENTERPRISES (Ref# 1544077)</t>
  </si>
  <si>
    <t>RTGS/SAMVARDHANA /TMBLR52025080700257230 (Ref# 1544075)</t>
  </si>
  <si>
    <t>eBank/Tr To XAVIERDAS.A / TRANSFER TO MR.XAVIE</t>
  </si>
  <si>
    <t>RTGS/M NATARAJAN/UTIBR52025080800352262</t>
  </si>
  <si>
    <t>RTGS/GST/TMBLR52025080800359215 (Ref# 1544078)</t>
  </si>
  <si>
    <t>RTGS/SAMVARDHANA /TMBLR52025080800363715 (Ref# 1544079)</t>
  </si>
  <si>
    <t>RTGS/MTC BUSINESS/HDFCR52025080899102309</t>
  </si>
  <si>
    <t>NEFT/METAL AND SCRAP TR/HDFCH00414533624</t>
  </si>
  <si>
    <t>CASH</t>
  </si>
  <si>
    <t>CASH WITHDRAWAL</t>
  </si>
  <si>
    <t>CS/CHEPA/SELF (Ref# 1544065)</t>
  </si>
  <si>
    <t>RTGS/MTC BUSINESS/HDFCR52025081199584032</t>
  </si>
  <si>
    <t>RTGS/SMS And Assemblies/TMBLR52025081100639976</t>
  </si>
  <si>
    <t>eBank/Tr To K S S ENTERPRISES / Trf</t>
  </si>
  <si>
    <t>Loan Coll. To -210700850100057</t>
  </si>
  <si>
    <t>RTGS/METAL AND SC/HDFCR52025081250076980</t>
  </si>
  <si>
    <t>NEFT/SRI SAI ENTERPRISE/HDFCH00421344153</t>
  </si>
  <si>
    <t>eBank/Tr To VEERA INDUSTRIES / TRF</t>
  </si>
  <si>
    <t>RTGS/SMS And Assemblies/TMBLR52025081200801150</t>
  </si>
  <si>
    <t>RTGS/MTC BUSINESS/HDFCR52025081250270339</t>
  </si>
  <si>
    <t>RTGS/METAL AND SC/HDFCR52025081350514308</t>
  </si>
  <si>
    <t>CS/CHEPA/SELF (Ref# 1544120)</t>
  </si>
  <si>
    <t>RTGS/MTC BUSINESS/HDFCR52025081350653155</t>
  </si>
  <si>
    <t>RTGS/SAMVARDHANA /TMBLR52025081300930402 (Ref# 1544082)</t>
  </si>
  <si>
    <t>RTGS/SRI SUN ENTE/HDFCR52025081350515192</t>
  </si>
  <si>
    <t>RTGS/METAL AND SC/HDFCR52025081450983959</t>
  </si>
  <si>
    <t>RTGS/MTC BUSINESS/HDFCR52025081451030714</t>
  </si>
  <si>
    <t>NEFT/TAMIL SELVAN G/TMBLH25226048303 (Ref# 1544085)</t>
  </si>
  <si>
    <t>RTGS/SAMVARDHANA /TMBLR52025081400048765 (Ref# 1544088)</t>
  </si>
  <si>
    <t>TR/CHEPA/VEERA NDUSTRIES (Ref# 1544091)</t>
  </si>
  <si>
    <t>NEFT/RAMAJAYAM/TMBLH25226049341 (Ref# 1544089)</t>
  </si>
  <si>
    <t>NEFT/SAMVARDHANA MOTHER/TMBLH25226049771 (Ref# 1544087)</t>
  </si>
  <si>
    <t>RTGS/AROKIA TRADE/TMBLR52025081400052452 (Ref# 1544081)</t>
  </si>
  <si>
    <t>NEFT/DHANALAKSHMI RAJKA/TMBLH25226052567 (Ref# 1544084)</t>
  </si>
  <si>
    <t>NEFT/RAJKANTH JAYARAM/TMBLH25226052859 (Ref# 1544083)</t>
  </si>
  <si>
    <t>NEFT/A ARUL/TMBLH25226056834 (Ref# 1544086)</t>
  </si>
  <si>
    <t>TR/CHEPA/VEERA INDUSTRIES (Ref# 1544092)</t>
  </si>
  <si>
    <t>RTGS/METAL AND SC/HDFCR52025081851656721</t>
  </si>
  <si>
    <t>NEFT/G S TECHNOLOGIES/TMBLH25230408903 (Ref# 1544094)</t>
  </si>
  <si>
    <t>RTGS/SAMVARDHANA /TMBLR52025081800410080 (Ref# 1544093)</t>
  </si>
  <si>
    <t>NEFT/METAL AND SCRAP TR/HDFCH00431655151</t>
  </si>
  <si>
    <t>RTGS/MTC BUSINESS/HDFCR52025081952129608</t>
  </si>
  <si>
    <t>CS/CHEPA/SELF (Ref# 1544119)</t>
  </si>
  <si>
    <t>RTGS/SAMVARDHANA /TMBLR52025081900523840 (Ref# 1544095)</t>
  </si>
  <si>
    <t>TR/CHEPA/K S S ENTERPRISES (Ref# 1544097)</t>
  </si>
  <si>
    <t>RTGS/SAMVARDHANA /TMBLR52025082000619620 (Ref# 1544096)</t>
  </si>
  <si>
    <t>RTGS/METAL AND SC/HDFCR52025082152968613</t>
  </si>
  <si>
    <t>RTGS/MTC BUSINESS/HDFCR52025082152899985</t>
  </si>
  <si>
    <t>eBank/Tr From VEERA INDUSTRIES / TRF</t>
  </si>
  <si>
    <t>RTGS/SMS And Assemblies/TMBLR52025082100755886</t>
  </si>
  <si>
    <t>NEFT/PNDURANGAN/TMBLH25233772431 (Ref# 1544098)</t>
  </si>
  <si>
    <t>IMPS/SRI AMBAL TRADE/523317830910/ICIC/AFFANMETAL</t>
  </si>
  <si>
    <t>RTGS/METAL AND SC/HDFCR52025082253358530</t>
  </si>
  <si>
    <t>RTGS/MTC BUSINESS/HDFCR52025082253410427</t>
  </si>
  <si>
    <t>RTGS/SMS And Assemblies/TMBLR52025082200880682</t>
  </si>
  <si>
    <t>RTGS/SRI AMBAL TR/ICICR42025082200553480</t>
  </si>
  <si>
    <t>Loan Coll. To -210700850100063</t>
  </si>
  <si>
    <t>RTGS/MTC BUSINESS/HDFCR52025082353675719</t>
  </si>
  <si>
    <t>RTGS/METAL AND SC/HDFCR52025082553936365</t>
  </si>
  <si>
    <t>RTGS/SMS And Assemblies/TMBLR52025082500138175</t>
  </si>
  <si>
    <t>RTGS/PUSHPANATAHN/SBINR52025082696573674</t>
  </si>
  <si>
    <t>RTGS/VELMURUHAN/SBINR52025082696585425</t>
  </si>
  <si>
    <t>RTGS/VENKATESAN/CBINR52025082610006845</t>
  </si>
  <si>
    <t>RTGS/MTC BUSINESS/HDFCR52025082654501971</t>
  </si>
  <si>
    <t>RTGS/M NATARAJAN/UTIBR52025082600355447</t>
  </si>
  <si>
    <t>RTGS/METAL AND SC/HDFCR52025082654502842</t>
  </si>
  <si>
    <t>RTGS/SMS And Assemblies/TMBLR52025082600264374</t>
  </si>
  <si>
    <t>NEFT/RAMAJAYAM/TMBLH25238264423</t>
  </si>
  <si>
    <t>eBank/Tr To VEERA INDUSTRIES</t>
  </si>
  <si>
    <t>RTGS/VELMURUHAN/SBINR52025082696633462</t>
  </si>
  <si>
    <t>RTGS/PT GOPINATH/SBINR52025082696610995</t>
  </si>
  <si>
    <t>IMPS/SRI AMBAL TRADE/523816823161/ICIC/AFFANMETAL</t>
  </si>
  <si>
    <t>NEFT/DHANUPRAKASH/HDFCH00443562093</t>
  </si>
  <si>
    <t>TR/CHEPA/VEERA INDUSTRIES (Ref# 1544099)</t>
  </si>
  <si>
    <t>IMPS/SRI AMBAL TRADE/524010073316/ICIC/AFFANMETAL</t>
  </si>
  <si>
    <t>RTGS/METAL AND SC/HDFCR52025082855124651</t>
  </si>
  <si>
    <t>RTGS/MTC BUSINESS/HDFCR52025082855058690</t>
  </si>
  <si>
    <t>RTGS/SAMVARDHANA /TMBLR52025082800469398 (Ref# 1544100)</t>
  </si>
  <si>
    <t>TR/CHEPA/K S S ENTERPRISES (Ref# 1544101)</t>
  </si>
  <si>
    <t>RTGS/MTC BUSINESS/HDFCR52025082955526683</t>
  </si>
  <si>
    <t>RTGS/METAL AND SC/HDFCR52025082955622218</t>
  </si>
  <si>
    <t>RTGS/SAMVARDHANA /TMBLR52025082900600167 (Ref# 1544102)</t>
  </si>
  <si>
    <t>RTGS/M NATARAJAN/UTIBR52025083000353210</t>
  </si>
  <si>
    <t>IMPS/SRI AMBAL TRADE/524212883762/ICIC/AFFANMETAL</t>
  </si>
  <si>
    <t>RTGS/METAL AND SC/HDFCR52025083055955751</t>
  </si>
  <si>
    <t>RTGS/MTC BUSINESS/HDFCR52025083055995691</t>
  </si>
  <si>
    <t>NEFT/DHANUPRAKASH/HDFCH00451493967</t>
  </si>
  <si>
    <t>RTGS/VELMURUHAN P/SBINR52025083097141444</t>
  </si>
  <si>
    <t>NEFT/RAMAJAYAM/TMBLH25242719508 (Ref# 1544104)</t>
  </si>
  <si>
    <t>RTGS/LATHA/CBINR52025083010015830</t>
  </si>
  <si>
    <t>RTGS/SAMVARDHANA /TMBLR52025083000727042 (Ref# 1544103)</t>
  </si>
  <si>
    <t>IMPS/UTHIRIYA PRADEE/524218658868/IOBA/Loan Repaym</t>
  </si>
  <si>
    <t>SEP</t>
  </si>
  <si>
    <t>RTGS/SAMVARDHANA /TMBLR52025090100871423 (Ref# 1544105)</t>
  </si>
  <si>
    <t>RTGS/UTHIRIYA PRA/IOBAR52025090100307148</t>
  </si>
  <si>
    <t>NEFT/METAL AND SCRAP TR/HDFCH00454314139</t>
  </si>
  <si>
    <t>IMPS/UTHIRIYA PRADEE/524414799270/IOBA/Loan Repaym</t>
  </si>
  <si>
    <t>RTGS/GOPINATH/SBINR52025090197288554</t>
  </si>
  <si>
    <t>NEFT/VELMURUGAN/SBIN325244848394</t>
  </si>
  <si>
    <t>RTGS/SAMVARDHANA /TMBLR52025090200034427 (Ref# 1544107)</t>
  </si>
  <si>
    <t>RTGS/MTC BUSINESS/HDFCR52025090256881804</t>
  </si>
  <si>
    <t>TR/CHEPA/ILAKKIA (Ref# 1544108)</t>
  </si>
  <si>
    <t>IMPS/SRI AMBAL TRADE/524516324238/ICIC/AFFANMETAL</t>
  </si>
  <si>
    <t>RTGS/METAL AND SC/HDFCR52025090357231751</t>
  </si>
  <si>
    <t>RTGS/SMS And Assemblies/TMBLR52025090300164575</t>
  </si>
  <si>
    <t>RTGS/MTC BUSINESS/HDFCR52025090357263677</t>
  </si>
  <si>
    <t>NEFT/SRI AMBAL TRADERS/ICIN424655771949</t>
  </si>
  <si>
    <t>RTGS/METAL AND SC/HDFCR52025090457544184</t>
  </si>
  <si>
    <t>RTGS/MTC BUSINESS/HDFCR52025090457558769</t>
  </si>
  <si>
    <t>NEFT/SRI AMBAL TRADERS/ICIN424756276492</t>
  </si>
  <si>
    <t>RTGS/SAMVARDHANA /TMBLR52025090400293228 (Ref# 1544109)</t>
  </si>
  <si>
    <t>TR/CHEPA/KSS ENTERPRISES (Ref# 1544110)</t>
  </si>
  <si>
    <t>CS/CHEPA/SELF (Ref# 1544118)</t>
  </si>
  <si>
    <t>TIN/25090400164908/TAX (Ref# 1544111)</t>
  </si>
  <si>
    <t>TIN/25090400167418/TAX (Ref# 1544112)</t>
  </si>
  <si>
    <t>NEFT/PREETHI G/TMBLH25247333827 (Ref# 1544113)</t>
  </si>
  <si>
    <t>RTGS/MTC BUSINESS/HDFCR52025090557994625</t>
  </si>
  <si>
    <t>RTGS/SMS And Assemblies/TMBLR52025090500468042</t>
  </si>
  <si>
    <t>RTGS/K R SRINIVAS/ICICR42025090600501818</t>
  </si>
  <si>
    <t>RTGS/METAL AND SC/HDFCR52025090658212024</t>
  </si>
  <si>
    <t>RTGS/MTC BUSINESS/HDFCR52025090658203644</t>
  </si>
  <si>
    <t>RTGS/SMS And Assemblies/TMBLR52025090800735089</t>
  </si>
  <si>
    <t>RTGS/K R SRINIVAS/ICICR42025090800515136</t>
  </si>
  <si>
    <t>NEFT/METAL AND SCRAP TR/HDFCH00470740356</t>
  </si>
  <si>
    <t>NEFT/RAJKANTH JAYARAM/TMBLH25251769453 (Ref# 1544114)</t>
  </si>
  <si>
    <t>NEFT/DHANALAKSHMI RAJKA/TMBLH25251769484 (Ref# 1544115)</t>
  </si>
  <si>
    <t>RTGS/SRI AMBAL TR/ICICR42025090800544529</t>
  </si>
  <si>
    <t>NEFT/DHANALAKSHMI RAJKA/RETNH25251727451</t>
  </si>
  <si>
    <t>RTGS/SMS And Assemblies/TMBLR52025090900870665</t>
  </si>
  <si>
    <t>RTGS/MTC BUSINESS/HDFCR52025090959012440</t>
  </si>
  <si>
    <t>RTGS/METAL AND SC/HDFCR52025090958987202</t>
  </si>
  <si>
    <t>eBank/GST/25093300047263</t>
  </si>
  <si>
    <t>eBank/Tr To XAVIERDAS.A / TRANSFER TO MR XAVIE</t>
  </si>
  <si>
    <t>NEFT/DHANALAKSHMI RAJKA/TMBLH25252898221 (Ref# 1544116)</t>
  </si>
  <si>
    <t>RTGS/S S S TRADER/YESBR12025090900025272</t>
  </si>
  <si>
    <t>TR/CHEPA/VEERA INDUSTRIES (Ref# 1544121)</t>
  </si>
  <si>
    <t>NEFT/RAMAJAYAM/TMBLH25252931716</t>
  </si>
  <si>
    <t>NEFT/SARAVANAN M/TMBLH25252931843</t>
  </si>
  <si>
    <t>NEFT/KANNAN/TMBLH25252931993</t>
  </si>
  <si>
    <t>NEFT/PANDURANGAN/TMBLH25252932137</t>
  </si>
  <si>
    <t>NEFT/vinod kumar/TMBLH25252932415</t>
  </si>
  <si>
    <t>RTGS/SMS And Assemblies/TMBLR52025090900932538</t>
  </si>
  <si>
    <t>IMPS/K R SRINIVASAN/525217773753/ICIC/repayac</t>
  </si>
  <si>
    <t>RTGS/K R SRINIVAS/ICICR42025090900566241</t>
  </si>
  <si>
    <t>RTGS/SMS And Assemblies/TMBLR52025091000007333</t>
  </si>
  <si>
    <t>TR/CHEPA/KSS ENTERRISES (Ref# 1544123)</t>
  </si>
  <si>
    <t>eBank/Tr To AMOUNT PAYABLE TO CASHFREE / EB Mr Xav</t>
  </si>
  <si>
    <t>RTGS/METAL AND SC/HDFCR52025091059520172</t>
  </si>
  <si>
    <t>eBank/Tr From VEERA INDUSTRIES / trf</t>
  </si>
  <si>
    <t>RTGS/SRI AMBAL TR/ICICR42025091000525285</t>
  </si>
  <si>
    <t>RTGS/MTC BUSINESS/HDFCR52025091059521403</t>
  </si>
  <si>
    <t>CS/CHEPA/SELF (Ref# 1544117)</t>
  </si>
  <si>
    <t>RTGS/SAVARDHANA M/TMBLR52025091000054240 (Ref# 1544124)</t>
  </si>
  <si>
    <t>RTGS/MTC BUSINESS/HDFCR52025091159846060</t>
  </si>
  <si>
    <t>RTGS/METAL AND SC/HDFCR52025091159846745</t>
  </si>
  <si>
    <t>IMPS/SRI AMBAL TRADE/525415814930/ICIC/AFFANMETAL</t>
  </si>
  <si>
    <t>RTGS/SAMVARDHANA /TMBLR52025091100181367 (Ref# 1544125)</t>
  </si>
  <si>
    <t>RTGS/METAL AND SC/HDFCR52025091260309748</t>
  </si>
  <si>
    <t>RTGS/MTC BUSINESS/HDFCR52025091260333570</t>
  </si>
  <si>
    <t>RTGS/SMS And Assemblies/TMBLR52025091200303626</t>
  </si>
  <si>
    <t>eBank/Tr To XAVIERDAS.A / TRF</t>
  </si>
  <si>
    <t>RTGS/MTC BUSINESS/HDFCR52025091360680827</t>
  </si>
  <si>
    <t>NEFT/RAMAJAYAM/TMBLH25256414319</t>
  </si>
  <si>
    <t>RTGS/METAL AND SC/HDFCR52025091560962392</t>
  </si>
  <si>
    <t>TR/CHEPA/JOTHI LAKSHMI.E (Ref# 1544126)</t>
  </si>
  <si>
    <t>IMPS/K Viknesh/525814504058/SBIN/No</t>
  </si>
  <si>
    <t>Bank Charges</t>
  </si>
  <si>
    <t>TO/CHQ BOOK ISSUE CHARGES</t>
  </si>
  <si>
    <t>RTGS/SAMVARDHANA /TMBLR52025091500595684 (Ref# 1544127)</t>
  </si>
  <si>
    <t>NEFT/SARAVANAN M/TMBLH25258602849 (Ref# 1544128)</t>
  </si>
  <si>
    <t>NEFT/KANNAN D/TMBLH25258602956 (Ref# 1544129)</t>
  </si>
  <si>
    <t>IMPS/UTHIRIYA PRADEE/525821864538/IOBA/Loan Repaym</t>
  </si>
  <si>
    <t>IMPS/UTHIRIYA PRADEE/525911892191/IOBA/Loan Repaym</t>
  </si>
  <si>
    <t>RTGS/Viknesh Karm/IDIBR52025091647523690</t>
  </si>
  <si>
    <t>RTGS/Infant Raj R/IDIBR52025091647523755</t>
  </si>
  <si>
    <t>RTGS/MTC BUSINESS/HDFCR52025091661427956</t>
  </si>
  <si>
    <t>RTGS/S. Anandh/IDIBR52025091647524467</t>
  </si>
  <si>
    <t>RTGS/METAL AND SC/HDFCR52025091661368771</t>
  </si>
  <si>
    <t>RTGS/SMS And Assemblies/TMBLR52025091600696651</t>
  </si>
  <si>
    <t>TR/CHEPA/VEERA INDUSTRIES (Ref# 1544132)</t>
  </si>
  <si>
    <t>NEFT/TAMILSELVAN G/TMBLH25259725241 (Ref# 1544131)</t>
  </si>
  <si>
    <t>NEFT/A ARUL/TMBLH25259726393 (Ref# 1544130)</t>
  </si>
  <si>
    <t>RTGS/SAMVARDHANA /TMBLR52025091600727124 (Ref# 1544133)</t>
  </si>
  <si>
    <t>NEFT/SUNDARA SUBBAIAH/TMBLH25259727422 (Ref# 1544135)</t>
  </si>
  <si>
    <t>TR/CHEPA/VEERA INDUSTRIES (Ref# 1544134)</t>
  </si>
  <si>
    <t>RTGS/SRI AMBAL TR/ICICR42025091600571827</t>
  </si>
  <si>
    <t>IMPS/UTHIRIYA PRADEE/526011967129/IOBA/Loan Repaym</t>
  </si>
  <si>
    <t>NEFT/VIKNESH/SBIN125260556972</t>
  </si>
  <si>
    <t>RTGS/MURUGANANTHA/IDIBR52025091747547366</t>
  </si>
  <si>
    <t>RTGS/METAL AND SC/HDFCR52025091761719035</t>
  </si>
  <si>
    <t>RTGS/S. Anandh/IDIBR52025091747547481</t>
  </si>
  <si>
    <t>RTGS/Infant Raj R/IDIBR52025091747547672</t>
  </si>
  <si>
    <t>RTGS/MTC BUSINESS/HDFCR52025091761901072</t>
  </si>
  <si>
    <t>RTGS/SMS And Assemblies/TMBLR52025091700827588</t>
  </si>
  <si>
    <t>RTGS/SAMVARDHANA /TMBLR52025091700829772 (Ref# 1544136)</t>
  </si>
  <si>
    <t>RTGS/DHARMARAJ/SBINR52025091799042600</t>
  </si>
  <si>
    <t>RTGS/LATHA/CBINR52025091710013526</t>
  </si>
  <si>
    <t>IMPS/SRI AMBAL TRADE/526111218798/ICIC/AFFANMETAL</t>
  </si>
  <si>
    <t>RTGS/SAMVARDHANA /TMBLR52025091800935322 (Ref# 1544137)</t>
  </si>
  <si>
    <t>RTGS/MTC BUSINESS/HDFCR52025091862277781</t>
  </si>
  <si>
    <t>RTGS/METAL AND SC/HDFCR52025091862228867</t>
  </si>
  <si>
    <t>IMPS/SRI AMBAL TRADE/526210215058/ICIC/AFFANMETAL</t>
  </si>
  <si>
    <t>RTGS/SMS And Assemblies/TMBLR52025091900044788</t>
  </si>
  <si>
    <t>TR/CHEPA/K S SENTERPRISES (Ref# 1544139)</t>
  </si>
  <si>
    <t>TR/CHEPA/VEERA INDUSTRIES (Ref# 1544138)</t>
  </si>
  <si>
    <t>RTGS/MTC BUSINESS/HDFCR52025091962616422</t>
  </si>
  <si>
    <t>NEFT/METAL AND SCRAP TR/HDFCH00494340918</t>
  </si>
  <si>
    <t>TR/CHEPA/VEERA INDUSTRIES (Ref# 1544140)</t>
  </si>
  <si>
    <t>RTGS/METAL AND SC/HDFCR52025092063042043</t>
  </si>
  <si>
    <t>RTGS/MTC BUSINESS/HDFCR52025092063070455</t>
  </si>
  <si>
    <t>TR/CHEPA/VEERA INDUSTRIES (Ref# 1544141)</t>
  </si>
  <si>
    <t>NEFT/SRI PACHAIYAMMAN B/TMBLH25263183760 (Ref# 1544142)</t>
  </si>
  <si>
    <t>IMPS/UTHIRIYA PRADEE/526418274170/IOBA/Loan Repaym</t>
  </si>
  <si>
    <t>RTGS/SMS And Assemblies/TMBLR52025092200328183</t>
  </si>
  <si>
    <t>NEFT/METAL AND SCRAP TR/HDFCH00497849020</t>
  </si>
  <si>
    <t>TR/CHEPA/VEERA INDUSTRIES (Ref# 1544143)</t>
  </si>
  <si>
    <t>IMPS/SRI AMBAL TRADE/526517056390/ICIC/AFFANMETAL</t>
  </si>
  <si>
    <t>TR/CHEPA/K S S ENTERPRISES (Ref# 1544145)</t>
  </si>
  <si>
    <t>RTGS/SAMVARDHANA /TMBLR52025092300460343 (Ref# 1544144)</t>
  </si>
  <si>
    <t>RTGS/METAL AND SC/HDFCR52025092364074115</t>
  </si>
  <si>
    <t>eBank/622227701/EB Mr.Xavier</t>
  </si>
  <si>
    <t>NEFT/RAMAJAYAM/TMBLH25266466790</t>
  </si>
  <si>
    <t>RTGS/MTC BUSINESS/HDFCR52025092364103877</t>
  </si>
  <si>
    <t>NEFT/SRI AMBAL TRADERS/ICIN426655353108</t>
  </si>
  <si>
    <t>RTGS/SAMVARDHANA /TMBLR52025092400583375 (Ref# 1544146)</t>
  </si>
  <si>
    <t>NEFT/METAL AND SCRAP TR/HDFCH00501989914</t>
  </si>
  <si>
    <t>RTGS/MTC BUSINESS/HDFCR52025092464630822</t>
  </si>
  <si>
    <t>RTGS/METAL AND SC/HDFCR52025092464575889</t>
  </si>
  <si>
    <t>RTGS/SMS And Assemblies/TMBLR52025092500685259</t>
  </si>
  <si>
    <t>NEFT/METAL AND SCRAP TR/HDFCH00503845693</t>
  </si>
  <si>
    <t>RTGS/SRISAIENTERP/HDFCR52025092565227848</t>
  </si>
  <si>
    <t>IMPS/SRI AMBAL TRADE/526820389921/ICIC/AFFANMETAL</t>
  </si>
  <si>
    <t>RTGS/M S A ENTERP/SBINR12025092600058536</t>
  </si>
  <si>
    <t>RTGS/METAL AND SC/HDFCR52025092665396729</t>
  </si>
  <si>
    <t>RTGS/MTC BUSINESS/HDFCR52025092665483496</t>
  </si>
  <si>
    <t>TR/CHEPA/K S S ENTERPRISES (Ref# 1544147)</t>
  </si>
  <si>
    <t>RTGS/SAMVARDHANA /TMBLR52025092600823908 (Ref# 1544149)</t>
  </si>
  <si>
    <t>RTGS/MTC BUSINESS/HDFCR52025092765880690</t>
  </si>
  <si>
    <t>RTGS/SRI AMBAL TR/ICICR42025092700537904</t>
  </si>
  <si>
    <t>IMPS/SRI AMBAL TRADE/527208146980/ICIC/AFFANMETAL</t>
  </si>
  <si>
    <t>CS/CHEPA/SELF (Ref# 1544170)</t>
  </si>
  <si>
    <t>TR/CHEPA/VERA INDUSTRIES (Ref# 1544150)</t>
  </si>
  <si>
    <t>RTGS/METAL AND SC/HDFCR52025092966263180</t>
  </si>
  <si>
    <t>RTGS/SAMVARDHANA /TMBLR52025092900095711 (Ref# 1544151)</t>
  </si>
  <si>
    <t>RTGS/SMS And Assemblies/TMBLR52025093000204243</t>
  </si>
  <si>
    <t>RTGS/MTC BUSINESS/HDFCR52025093066714509</t>
  </si>
  <si>
    <t>TR/CHEPA/VEERA INDUSTRIES (Ref# 1544153)</t>
  </si>
  <si>
    <t>CS/CHEPA/SELF (Ref# 1544169)</t>
  </si>
  <si>
    <t>RTGS/METAL AND SC/HDFCR52025093066753983</t>
  </si>
  <si>
    <t>RTGS/SAMVARDHANA /TMBLR52025093000261072 (Ref# 1544154)</t>
  </si>
  <si>
    <t>IMPS/SRI AMBAL TRADE/527317084144/ICIC/AFFANMETAL</t>
  </si>
  <si>
    <t>OCT</t>
  </si>
  <si>
    <t>RTGS/MTC BUSINESS/HDFCR52025100367708180</t>
  </si>
  <si>
    <t>TR/CHEPA/ILAKKIA (Ref# 1544156)</t>
  </si>
  <si>
    <t>RTGS/SAMVAEDHANA /TMBLR52025100300610248 (Ref# 1544155)</t>
  </si>
  <si>
    <t>NEFT/METAL AND SCRAP TR/HDFCH00523318694</t>
  </si>
  <si>
    <t>RTGS/MTC BUSINESS/HDFCR52025100468266197</t>
  </si>
  <si>
    <t>IMPS/SRI AMBAL TRADE/527911772406/ICIC/AFFANMETAL</t>
  </si>
  <si>
    <t>RTGS/SAMVARDHANA /TMBLR52025100600943408 (Ref# 1544157)</t>
  </si>
  <si>
    <t>RTGS/MTC BUSINESS/HDFCR52025100668762155</t>
  </si>
  <si>
    <t>RTGS/MTC BUSINESS/HDFCR52025100769126493</t>
  </si>
  <si>
    <t>TIN/25100600547294/TAX (Ref# 1544158)</t>
  </si>
  <si>
    <t>NEFT/SARAVANAN M/TMBLH25280117206 (Ref# 1544160)</t>
  </si>
  <si>
    <t>RTGS/RAMAJAYAM/TMBLR52025100700117305 (Ref# 1544159)</t>
  </si>
  <si>
    <t>RTGS/SAMVARDHANA /TMBLR52025100700120134 (Ref# 1544163)</t>
  </si>
  <si>
    <t>NEFT/PANDURANGAN/TMBLH25280120363 (Ref# 1544162)</t>
  </si>
  <si>
    <t>NEFT/KANNAN/TMBLH25280120518 (Ref# 1544161)</t>
  </si>
  <si>
    <t>NEFT/RAJKANTH JAYARAM/TMBLH25281234131 (Ref# 1544164)</t>
  </si>
  <si>
    <t>RTGS/MTC BUSINESS/HDFCR52025100869685042</t>
  </si>
  <si>
    <t>NEFT/DHANALAKSHMI RAJKA/TMBLH25281253489 (Ref# 1544165)</t>
  </si>
  <si>
    <t>NEFT/VIHAAN N UG NAVANE/TMBLH25281256177 (Ref# 1544166)</t>
  </si>
  <si>
    <t>RTGS/SAMVARDHANA /TMBLR52025100800268330 (Ref# 1544152)</t>
  </si>
  <si>
    <t>IMPS/SRI AMBAL TRADE/528118878315/ICIC/AFFANMETAL</t>
  </si>
  <si>
    <t>RTGS/SMS And Assemblies/TMBLR52025100900376719</t>
  </si>
  <si>
    <t>RTGS/MTC BUSINESS/HDFCR52025100970147094</t>
  </si>
  <si>
    <t>RTGS/SMS And Assemblies/TMBLR52025100900412566</t>
  </si>
  <si>
    <t>eBank/Tr To K S S ENTERPRISES / trf</t>
  </si>
  <si>
    <t>RTGS/MTC BUSINESS/HDFCR52025101070573231</t>
  </si>
  <si>
    <t>IMPS/SRI AMBAL TRADE/528314247068/ICIC/AFFANMETAL</t>
  </si>
  <si>
    <t>eBank/Tr To VEERA INDUSTRIES / trf</t>
  </si>
  <si>
    <t>RTGS/SMS And Assemblies/TMBLR52025101000545952</t>
  </si>
  <si>
    <t>NEFT/vinod kumar/TMBLH25283546077</t>
  </si>
  <si>
    <t>NEFT/G PREETHI/TMBLH25283560549 (Ref# 1544173)</t>
  </si>
  <si>
    <t>RTGS-RET/TMBLR52025101000559644/GST/RETURNR11TMB</t>
  </si>
  <si>
    <t>RTGS/GST/TMBLR52025101000571006 (Ref# 1544174)</t>
  </si>
  <si>
    <t>RTGS/MTC BUSINESS/HDFCR52025101371305603</t>
  </si>
  <si>
    <t>RTGS/SMS And Assemblies/TMBLR52025101300835359</t>
  </si>
  <si>
    <t>eBank/Tr To AMOUNT PAYABLE TO EASEBUZZ / SANJAY SC</t>
  </si>
  <si>
    <t>RTGS/MTC BUSINESS/HDFCR52025101471915484</t>
  </si>
  <si>
    <t>RTGS/SMS And Assemblies/TMBLR52025101400971751</t>
  </si>
  <si>
    <t>RTGS/SAMVARDHANA /TMBLR52025101400977686 (Ref# 1544175)</t>
  </si>
  <si>
    <t>IMPS/SRI AMBAL TRADE/528714330566/ICIC/AFFANMETAL</t>
  </si>
  <si>
    <t>NEFT/P T GOPINATH/TMBLH25287010972 (Ref# 1544176)</t>
  </si>
  <si>
    <t>RTGS/SMS And Assemblies/TMBLR52025101500105085</t>
  </si>
  <si>
    <t>RTGS/MTC BUSINESS/HDFCR52025101572503155</t>
  </si>
  <si>
    <t>RTGS/SMS And Assemblies/TMBLR52025101500122419</t>
  </si>
  <si>
    <t>RTGS/SRI AMBAL TR/ICICR42025101500600831</t>
  </si>
  <si>
    <t>IMPS/SRI AMBAL TRADE/528909057700/ICIC/AFFANMETAL</t>
  </si>
  <si>
    <t>RTGS/SMS And Assemblies/TMBLR52025101600248842</t>
  </si>
  <si>
    <t>IMPS/SRI AMBAL TRADE/529011621062/ICIC/AFFANMETAL</t>
  </si>
  <si>
    <t>RTGS/MTC BUSINESS/HDFCR52025101773624899</t>
  </si>
  <si>
    <t>RTGS/SMS And Assemblies/TMBLR52025101700427085</t>
  </si>
  <si>
    <t>NEFT/PRIYADHARSHINI SUR/TMBLH25291611335 (Ref# 1544177)</t>
  </si>
  <si>
    <t>RTGS/M S A ENTERP/SBINR12025102203123723</t>
  </si>
  <si>
    <t>TR/CHEPA/KSS ENTERPRISES (Ref# 1544178)</t>
  </si>
  <si>
    <t>IMPS/SRI AMBAL TRADE/529519789919/ICIC/AFFANMETAL</t>
  </si>
  <si>
    <t>RTGS/SMS And Assemblies/TMBLR52025102300978934</t>
  </si>
  <si>
    <t>IMPS/SRI AMBAL TRADE/529612725310/ICIC/AFFANMETAL</t>
  </si>
  <si>
    <t>RTGS/MTC BUSINESS/HDFCR52025102375260331</t>
  </si>
  <si>
    <t>RTGS/SMS And Assemblies/TMBLR52025102300008009</t>
  </si>
  <si>
    <t>TR/CHEPA/K S SENTERPRISES</t>
  </si>
  <si>
    <t>RTGS/SAMVARDHANA /TMBLR52025102300011791 (Ref# 1544180)</t>
  </si>
  <si>
    <t>NEFT/TAMILSELVAN G/TMBLH25296015408 (Ref# 1544181)</t>
  </si>
  <si>
    <t>NEFT/A ARUL/TMBLH25296015735 (Ref# 1544182)</t>
  </si>
  <si>
    <t>RTGS/MTC BUSINESS/HDFCR52025102475551797</t>
  </si>
  <si>
    <t>RTGS/SAMVARDHANA /TMBLR52025102400106470 (Ref# 1544185)</t>
  </si>
  <si>
    <t>NEFT/P T GOPINATH/TMBLH25297118550 (Ref# 1544186)</t>
  </si>
  <si>
    <t>RTGS/MTC BUSINESS/HDFCR52025102776074870</t>
  </si>
  <si>
    <t>AROKIYATRADERS (Ref# 1544184)</t>
  </si>
  <si>
    <t>RTGS/SMS And Assemblies/TMBLR52025102700342500</t>
  </si>
  <si>
    <t>RTGS/MTC BUSINESS/HDFCR52025102776365306</t>
  </si>
  <si>
    <t>RTGS/SMS And Assemblies/TMBLR52025102700359693</t>
  </si>
  <si>
    <t>RTGS/MTC BUSINESS/HDFCR52025102876741771</t>
  </si>
  <si>
    <t>RTGS/SAVARDHANA M/TMBLR52025102800472886 (Ref# 1544187)</t>
  </si>
  <si>
    <t>RTGS/SRI AMBAL TR/ICICR42025102800538193</t>
  </si>
  <si>
    <t>NEFT/RAMAJAYAM/TMBLH25301479481</t>
  </si>
  <si>
    <t>RTGS/SMS And Assemblies/TMBLR52025102900561788</t>
  </si>
  <si>
    <t>RTGS/MTC BUSINESS/HDFCR52025102977229918</t>
  </si>
  <si>
    <t>TR/CHEPA/VEERA INDUSTRIES (Ref# 1544190)</t>
  </si>
  <si>
    <t>TR/CHEPA/KSS ENTER (Ref# 1544189)</t>
  </si>
  <si>
    <t>RTGS/SAMVARDHANA /TMBLR52025102900607380 (Ref# 1544188)</t>
  </si>
  <si>
    <t>IMPS/SRI AMBAL TRADE/530218542846/ICIC/AFFANMETAL</t>
  </si>
  <si>
    <t>IMPS/SRI AMBAL TRADE/530310599539/ICIC/AFFANMETAL</t>
  </si>
  <si>
    <t>RTGS/MTC BUSINESS/HDFCR52025103077607484</t>
  </si>
  <si>
    <t>RTGS/SAMVARDHANA /TMBLR52025103000695322 (Ref# 1544191)</t>
  </si>
  <si>
    <t>NEFT/PANDURANGAN/TMBLH25303701587</t>
  </si>
  <si>
    <t>RTGS/MTC BUSINESS/HDFCR52025103077804751</t>
  </si>
  <si>
    <t>Insurance</t>
  </si>
  <si>
    <t>eBank/628857381/i20 Insurance</t>
  </si>
  <si>
    <t>RTGS/SAMVARDHANA /TMBLR52025103100796602 (Ref# 1544192)</t>
  </si>
  <si>
    <t>NEFT/SRI AMBAL TRADERS/ICIN430458799873</t>
  </si>
  <si>
    <t>CS/CHEPA/SELF (Ref# 1544220)</t>
  </si>
  <si>
    <t>NOV</t>
  </si>
  <si>
    <t>RTGS/SMS And Assemblies/TMBLR52025110100939160</t>
  </si>
  <si>
    <t>IMPS/SRI AMBAL TRADE/530620289518/ICIC/AFFANMETAL</t>
  </si>
  <si>
    <t>TR/CHEPA/ILAKKIA (Ref# 1544193)</t>
  </si>
  <si>
    <t>RTGS/SMS And Assemblies/TMBLR52025110300145377</t>
  </si>
  <si>
    <t>RTGS/MTC BUSINESS/HDFCR52025110379120580</t>
  </si>
  <si>
    <t>RTGS/SMS And Assemblies/TMBLR52025110300153727</t>
  </si>
  <si>
    <t>RTGS/MTC BUSINESS/HDFCR52025110479492948</t>
  </si>
  <si>
    <t>RTGS/SMS And Assemblies/TMBLR52025110400277669</t>
  </si>
  <si>
    <t>IMPS/SRI AMBAL TRADE/530817329207/ICIC/AFFANMETAL</t>
  </si>
  <si>
    <t>NEFT/SIVARAJANI CHENGUT/TMBLH25308316474 (Ref# 1544194)</t>
  </si>
  <si>
    <t>NEFT/NAVANEETHAN RAJKAN/TMBLH25308316630 (Ref# 1544195)</t>
  </si>
  <si>
    <t>NEFT/VIHAAN/TMBLH25308317250 (Ref# 1544196)</t>
  </si>
  <si>
    <t>NEFT/DHANALAKSHMI RAJKA/TMBLH25308317471 (Ref# 1544197)</t>
  </si>
  <si>
    <t>IMPS/SRI AMBAL TRADE/530817425077/ICIC/AFFANMETAL</t>
  </si>
  <si>
    <t>TR/CHEPA/VEERA INDUSTRIES (Ref# 1544198)</t>
  </si>
  <si>
    <t>RTGS/MTC BUSINESS/HDFCR52025110579964862</t>
  </si>
  <si>
    <t>NEFT/SMS And Assemblies A/TMBLH25309425877</t>
  </si>
  <si>
    <t>RTGS/SMS And Assemblies/TMBLR52025110500425894</t>
  </si>
  <si>
    <t>NEFT/RAMAJAYAM/TMBLH25309440692</t>
  </si>
  <si>
    <t>NEFT/SARAVANAN M/TMBLH25309440777</t>
  </si>
  <si>
    <t>NEFT/KANNAN/TMBLH25309440974</t>
  </si>
  <si>
    <t>NEFT/PANDURANGAN/TMBLH25309444246</t>
  </si>
  <si>
    <t>SALES</t>
  </si>
  <si>
    <t>CASH DEPOSIT</t>
  </si>
  <si>
    <t>CS/CHEPA/SELF</t>
  </si>
  <si>
    <t>TR/CHEPA/VEERA INDUSTRIES (Ref# 1544199)</t>
  </si>
  <si>
    <t>IMPS/SRI AMBAL TRADE/531012049311/ICIC/AFFANMETAL</t>
  </si>
  <si>
    <t>RTGS/MTC BUSINESS/HDFCR52025110680280476</t>
  </si>
  <si>
    <t>RTGS/SAMVARDHANA /TMBLR52025110600604106 (Ref# 1544200)</t>
  </si>
  <si>
    <t>TIN/25110600311765/TAX (Ref# 1544203)</t>
  </si>
  <si>
    <t>TIN/25110600307074/TAX (Ref# 1544201)</t>
  </si>
  <si>
    <t>RTGS/MTC BUSINESS/HDFCR52025110780841436</t>
  </si>
  <si>
    <t>IMPS/SRI AMBAL TRADE/531115828632/ICIC/AFFANMETAL</t>
  </si>
  <si>
    <t>eBank/GST/25113300046476</t>
  </si>
  <si>
    <t>RTGS/SRISAIENTERP/HDFCR52025110780877116</t>
  </si>
  <si>
    <t>RTGS/MTC BUSINESS/HDFCR52025110881190917</t>
  </si>
  <si>
    <t>RTGS/SMS And Assemblies/TMBLR52025111000987466</t>
  </si>
  <si>
    <t>CS/210/SELF- AFFAN METALS (Ref# 1544219)</t>
  </si>
  <si>
    <t>TR/CHEPA/K S S ENTERPRISES (Ref# 1544208)</t>
  </si>
  <si>
    <t>TR/CHEPA/K S S ENTERPRISES (Ref# 1544204)</t>
  </si>
  <si>
    <t>TR/CHEPA/VEERA INDUSTRIES (Ref# 1544207)</t>
  </si>
  <si>
    <t>IMPS/SRI AMBAL TRADE/531415227584/ICIC/AFFANMETAL</t>
  </si>
  <si>
    <t>CS/CHEPA/SELF (Ref# 1544218)</t>
  </si>
  <si>
    <t>NEFT/G PREETHI/TMBLH25314051157 (Ref# 1544205)</t>
  </si>
  <si>
    <t>NEFT/VINOD KUMAR C/TMBLH25314056003 (Ref# 1544206)</t>
  </si>
  <si>
    <t>RTGS/SMS And Assemblies/TMBLR52025111100145005</t>
  </si>
  <si>
    <t>RTGS/MTC BUSINESS/HDFCR52025111182014922</t>
  </si>
  <si>
    <t>RTGS/SMS And Assemblies/TMBLR52025111100171328</t>
  </si>
  <si>
    <t>CS/CHEPA/SELF (Ref# 1544217)</t>
  </si>
  <si>
    <t>NEFT/PANKAJ ACHARYA/TMBLH25315188758 (Ref# 1544209)</t>
  </si>
  <si>
    <t>IMPS/SRI AMBAL TRADE/531617515117/ICIC/AFFANMETAL</t>
  </si>
  <si>
    <t>RTGS/SMS And Assemblies/TMBLR52025111200336941</t>
  </si>
  <si>
    <t>RTGS/SMS And Assemblies/TMBLR52025111300402110</t>
  </si>
  <si>
    <t>NEFT/suresh/TMBLH25317434927</t>
  </si>
  <si>
    <t>NEFT/PANDURANGAN/TMBLH25317434973</t>
  </si>
  <si>
    <t>eBank/631537391/SANTHOSH COLLEGE FEES</t>
  </si>
  <si>
    <t>NEFT/SRI AMBAL TRADERS/IN42531851386431</t>
  </si>
  <si>
    <t>NEFT/SARALA B/TMBLH25318541148 (Ref# 1544210)</t>
  </si>
  <si>
    <t>RTGS/MTC BUSINESS/HDFCR52025111483376350</t>
  </si>
  <si>
    <t>RTGS/SAMVARDHANA /TMBLR52025111400559558 (Ref# 1544211)</t>
  </si>
  <si>
    <t>CS/CHEPA/SELF (Ref# 1544216)</t>
  </si>
  <si>
    <t>TR/CHEPA/K S S ENTERPRISES</t>
  </si>
  <si>
    <t>RTGS/SAMVARDHANA /TMBLR52025111500659164 (Ref# 1544212)</t>
  </si>
  <si>
    <t>NEFT/VICTORY SCALES/TMBLH25319685092 (Ref# 1544213)</t>
  </si>
  <si>
    <t>NEFT/A ARUL/TMBLH25319685477 (Ref# 1544215)</t>
  </si>
  <si>
    <t>NEFT/TAMILSELVAN G/TMBLH25319685602 (Ref# 1544214)</t>
  </si>
  <si>
    <t>RTGS/MTC BUSINESS/HDFCR52025111583860642</t>
  </si>
  <si>
    <t>JL Disp 210700250122301</t>
  </si>
  <si>
    <t>Appraiser fee</t>
  </si>
  <si>
    <t>210700260101923 - Loan Payoff (Ref# 1568081)</t>
  </si>
  <si>
    <t>RTGS/RAMAJAYAM/TMBLR52025111700814737</t>
  </si>
  <si>
    <t>RTGS/MTC BUSINESS/HDFCR52025111884664154</t>
  </si>
  <si>
    <t>IMPS/SRI AMBAL TRADE/532213589638/ICIC/AFFANMETAL</t>
  </si>
  <si>
    <t>RTGS/SAMVARDHANA /TMBLR52025111800960444 (Ref# 1568082)</t>
  </si>
  <si>
    <t>TR/CHEPA/K S SENTERPRISES (Ref# 1568084)</t>
  </si>
  <si>
    <t>RTGS/MTC BUSINESS/HDFCR52025111985189759</t>
  </si>
  <si>
    <t>RTGS/SAMVARDHANA /TMBLR52025111900091961 (Ref# 1568085)</t>
  </si>
  <si>
    <t>RTGS/SAMVARDHANA /TMBLR52025112000176056 (Ref# 1568086)</t>
  </si>
  <si>
    <t>IMPS/SRI AMBAL TRADE/532414329114/ICIC/AFFANMETAL</t>
  </si>
  <si>
    <t>RTGS/MTC BUSINESS/HDFCR52025112085747225</t>
  </si>
  <si>
    <t>IMPS/SRI AMBAL TRADE/532417728069/ICIC/AFFANMETAL</t>
  </si>
  <si>
    <t>RTGS/SMS And Assemblies/TMBLR52025112000228649</t>
  </si>
  <si>
    <t>RTGS/MTC BUSINESS/HDFCR52025112186164864</t>
  </si>
  <si>
    <t>RTGS/SMS And Assemblies/TMBLR52025112100328541</t>
  </si>
  <si>
    <t>NEFT/SRI AMBAL TRADERS/IN42532555652320</t>
  </si>
  <si>
    <t>RTGS/MTC BUSINESS/HDFCR52025112286378521</t>
  </si>
  <si>
    <t>RTGS/SMS And Assemblies/TMBLR52025112400550255</t>
  </si>
  <si>
    <t>eBank/633333571/EB Xavier Office</t>
  </si>
  <si>
    <t>IMPS/SRI AMBAL TRADE/532818301836/ICIC/AFFANMETAL</t>
  </si>
  <si>
    <t>RTGS/SMS And Assemblies/TMBLR52025112500671853</t>
  </si>
  <si>
    <t>RTGS/MTC BUSINESS/HDFCR52025112587317417</t>
  </si>
  <si>
    <t>RTGS/SMS And Assemblies/TMBLR52025112500703140</t>
  </si>
  <si>
    <t>RTGS/MTC BUSINESS/HDFCR52025112687744694</t>
  </si>
  <si>
    <t>RTGS/SMS And Assemblies/TMBLR52025112600814449</t>
  </si>
  <si>
    <t>RTGS/MTC BUSINESS/HDFCR52025112788251470</t>
  </si>
  <si>
    <t>RTGS/SMS And Assemblies/TMBLR52025112700924712</t>
  </si>
  <si>
    <t>RTGS/SMS And Assemblies/TMBLR52025112700939201</t>
  </si>
  <si>
    <t>NEFT/SARALA B/TMBLH25331943328 (Ref# 1568089)</t>
  </si>
  <si>
    <t>IMPS/SRI AMBAL TRADE/533210701467/ICIC/AFFANMETAL</t>
  </si>
  <si>
    <t>RTGS/SMS And Assemblies/TMBLR52025112800021821</t>
  </si>
  <si>
    <t>RTGS/MTC BUSINESS/HDFCR52025112888681949</t>
  </si>
  <si>
    <t>RTGS/SMS And Assemblies/TMBLR52025112800039964</t>
  </si>
  <si>
    <t>eBank/Tr To K S S ENTERPRISES / TRF</t>
  </si>
  <si>
    <t>RTGS/MTC BUSINESS/HDFCR52025112989028197</t>
  </si>
  <si>
    <t>RTGS/SMS And Assemblies/TMBLR52025112900161504</t>
  </si>
  <si>
    <t>NEFT/SRI AMBAL TRADERS/IN42533350280489</t>
  </si>
  <si>
    <t>DEC</t>
  </si>
  <si>
    <t>eBank/634593331/RECYLEME SUBSCRIPTION RENEWAL</t>
  </si>
  <si>
    <t>IMPS/SRI AMBAL TRADE/533518945118/ICIC/AFFANMETAL</t>
  </si>
  <si>
    <t>RTGS/SMS And Assemblies/TMBLR52025120200468720</t>
  </si>
  <si>
    <t>IMPS/SRI AMBAL TRADE/533711665298/ICIC/AFFANMETAL</t>
  </si>
  <si>
    <t>TR/CHEPA/ILAKKIYA (Ref# 1568091)</t>
  </si>
  <si>
    <t>NEFT/SURESH M/TMBLH25337613255 (Ref# 1568092)</t>
  </si>
  <si>
    <t>RTGS/MTC BUSINESS/HDFCR52025120390606176</t>
  </si>
  <si>
    <t>RTGS/SMS And Assemblies/TMBLR52025120300633366</t>
  </si>
  <si>
    <t>eBank/Tr From VEERA INDUSTRIES / TRASSFER TO VEERA</t>
  </si>
  <si>
    <t>RTGS/SMS And Assemblies/TMBLR52025120400726062</t>
  </si>
  <si>
    <t>IMPS/SRI AMBAL TRADE/533812951640/ICIC/AFFANMETAL</t>
  </si>
  <si>
    <t>RTGS/MTC BUSINESS/HDFCR52025120490928030</t>
  </si>
  <si>
    <t>CS/CHEPA/SELF (Ref# 1544168)</t>
  </si>
  <si>
    <t>NEFT/VIHAN N UG NAVANEE/TMBLH25338776168 (Ref# 1568093)</t>
  </si>
  <si>
    <t>NEFT/NAVANEETHAN RAJKAN/TMBLH25338776264 (Ref# 1568094)</t>
  </si>
  <si>
    <t>NEFT/RAJKANTH JAYARAM/TMBLH25338778340 (Ref# 1568095)</t>
  </si>
  <si>
    <t>NEFT/DHANALAKSHMI RAJKA/TMBLH25338779794 (Ref# 1568096)</t>
  </si>
  <si>
    <t>RTGS/SMS And Assemblies/TMBLR52025120500858572</t>
  </si>
  <si>
    <t>TR/CHEPA/KSS ENTER (Ref# 1568099)</t>
  </si>
  <si>
    <t>RTGS/MTC BUSINESS/HDFCR52025120591611776</t>
  </si>
  <si>
    <t>TIN/25120500054882/TAX (Ref# 1568097)</t>
  </si>
  <si>
    <t>TIN/25120500057937/TAX (Ref# 1568098)</t>
  </si>
  <si>
    <t>IMPS/SRI AMBAL TRADE/533920613390/ICIC/AFFANMETAL</t>
  </si>
  <si>
    <t>NEFT/G PREETHI/TMBLH25340048249 (Ref# 1568100)</t>
  </si>
  <si>
    <t>RTGS/MTC BUSINESS/HDFCR52025120691818905</t>
  </si>
  <si>
    <t>NEFT/vinod kumar/TMBLH25340069820</t>
  </si>
  <si>
    <t>NEFT/RAMAJAYAM/TMBLH25340071849 (Ref# 1568101)</t>
  </si>
  <si>
    <t>NEFT/PANDURANGAN/TMBLH25340072306 (Ref# 1568104)</t>
  </si>
  <si>
    <t>NEFT/KANNAN D/TMBLH25340072350 (Ref# 1568103)</t>
  </si>
  <si>
    <t>NEFT/SARAVANAN M/TMBLH25340072381 (Ref# 1568102)</t>
  </si>
  <si>
    <t>RTGS/SMS And Assemblies/TMBLR52025120600072729</t>
  </si>
  <si>
    <t>NEFT/GST/TMBLH25340072824 (Ref# 1568105)</t>
  </si>
  <si>
    <t>CS/210/SELF-VINOTHKUMAR (Ref# 1544167)</t>
  </si>
  <si>
    <t>IMPS/SRI AMBAL TRADE/534211644863/ICIC/AFFANMETAL</t>
  </si>
  <si>
    <t>JL Disp 210700300100227</t>
  </si>
  <si>
    <t>CS/CHEPA/SELF (Ref# 1568130)</t>
  </si>
  <si>
    <t>RTGS/ARUL A/TMBLR52025120800246484 (Ref# 1568106)</t>
  </si>
  <si>
    <t>RTGS/MTC BUSINESS/HDFCR52025120892268617</t>
  </si>
  <si>
    <t>NEFT/PANKAJ ACHARYA/TMBLH25342282749 (Ref# 1568107)</t>
  </si>
  <si>
    <t>RTGS/SAMVARDHANA /TMBLR52025120900383428 (Ref# 1568108)</t>
  </si>
  <si>
    <t>RTGS/MTC BUSINESS/HDFCR52025120992835918</t>
  </si>
  <si>
    <t>RTGS/SAMVARDHANA /TMBLR52025120900415303 (Ref# 1568109)</t>
  </si>
  <si>
    <t>IMPS/SRI AMBAL TRADE/534318734374/ICIC/AFFANMETAL</t>
  </si>
  <si>
    <t>IMPS/SRI AMBAL TRADE/534410745324/ICIC/AFFANMETAL</t>
  </si>
  <si>
    <t>IMPS/SRI AMBAL TRADE/534413238002/ICIC/AFFANMETAL</t>
  </si>
  <si>
    <t>RTGS/SAMVARDHANA /TMBLR52025121000532111 (Ref# 1568110)</t>
  </si>
  <si>
    <t>RTGS/MTC BUSINESS/HDFCR52025121093419427</t>
  </si>
  <si>
    <t>RTGS/SAMVARDHANA /TMBLR52025121000572349 (Ref# 1568111)</t>
  </si>
  <si>
    <t>RTGS/SMS And Assemblies/TMBLR52025121100645755</t>
  </si>
  <si>
    <t>RTGS/MTC BUSINESS/HDFCR52025121193757806</t>
  </si>
  <si>
    <t>RTGS/SMS And Assemblies/TMBLR52025121100677788</t>
  </si>
  <si>
    <t>IMPS/SRI AMBAL TRADE/534516768749/ICIC/AFFANMETAL</t>
  </si>
  <si>
    <t>IMPS/SRI AMBAL TRADE/534610849692/ICIC/AFFANMETAL</t>
  </si>
  <si>
    <t>RTGS/SAMVARDHANA /TMBLR52025121200774108 (Ref# 1568112)</t>
  </si>
  <si>
    <t>RTGS/MTC BUSINESS/HDFCR52025121294114985</t>
  </si>
  <si>
    <t>RTGS/NATARAJAN M/CNRBR52025121272318197</t>
  </si>
  <si>
    <t>RTGS/SMS And Assemblies/TMBLR52025121200806906</t>
  </si>
  <si>
    <t>RTGS/SMS And Assemblies/TMBLR52025121200835793</t>
  </si>
  <si>
    <t>RTGS/MTC BUSINESS/HDFCR52025121394523909</t>
  </si>
  <si>
    <t>NEFT/ITDTAX REFUND 2025/SBIN225348077513</t>
  </si>
  <si>
    <t>RTGS/SRI AMBAL TR/ICICR42025121500508719</t>
  </si>
  <si>
    <t>TR/CHEPA/K S S ENTERPRISES (Ref# 1568116)</t>
  </si>
  <si>
    <t>NEFT/A ARUL/TMBLH25349071470 (Ref# 1568115)</t>
  </si>
  <si>
    <t>RTGS/SAMVARDHANA /TMBLR52025121500071846 (Ref# 1568113)</t>
  </si>
  <si>
    <t>NEFT/TAMILSELVAN G/TMBLH25349077149 (Ref# 1568114)</t>
  </si>
  <si>
    <t>TR/CHEPA/VEERA INDUSTRIES (Ref# 1568118)</t>
  </si>
  <si>
    <t>NEFT/RAMAJAYAM/TMBLH25349087333 (Ref# 1568117)</t>
  </si>
  <si>
    <t>RTGS/SMS And Assemblies/TMBLR52025121600179957</t>
  </si>
  <si>
    <t>RTGS/MTC BUSINESS/HDFCR52025121695415510</t>
  </si>
  <si>
    <t>IMPS/SRI AMBAL TRADE/535110806700/ICIC/AFFANMETAL</t>
  </si>
  <si>
    <t>RTGS/SAMVARDHANA /TMBLR52025121700315586 (Ref# 1568119)</t>
  </si>
  <si>
    <t>RTGS/MTC BUSINESS/HDFCR52025121795903789</t>
  </si>
  <si>
    <t>RTGS/SAMVARDHANA /TMBLR52025121800441406 (Ref# 1568120)</t>
  </si>
  <si>
    <t>RTGS/MTC BUSINESS/HDFCR52025121896470745</t>
  </si>
  <si>
    <t>TR/CHEPA/VEERA INDUSTRIES (Ref# 1568121)</t>
  </si>
  <si>
    <t>IMPS/SRI AMBAL TRADE/535309477197/ICIC/AFFANMETAL</t>
  </si>
  <si>
    <t>TR/CHEPA/K S S ENTERPRISES (Ref# 1568123)</t>
  </si>
  <si>
    <t>RTGS/SAMVARDHANA /TMBLR52025121900568561 (Ref# 1568122)</t>
  </si>
  <si>
    <t>RTGS/MTC BUSINESS/HDFCR52025121996869224</t>
  </si>
  <si>
    <t>RTGS/MTC BUSINESS/HDFCR52025122097331462</t>
  </si>
  <si>
    <t>RTGS/SAMVARDHANA /TMBLR52025122000705181 (Ref# 1568124)</t>
  </si>
  <si>
    <t>IMPS/SRI AMBAL TRADE/535609290023/ICIC/AFFANMETAL</t>
  </si>
  <si>
    <t>TR/CHEPA/K S S ENTERPRISES (Ref# 1568802)</t>
  </si>
  <si>
    <t>NEFT/SAMVARDHANA MOTHER/TMBLH25356864291 (Ref# 1568801)</t>
  </si>
  <si>
    <t>NEFT/SURESH M/TMBLH25356864340 (Ref# 1568803)</t>
  </si>
  <si>
    <t>RTGS/SAMVARDHANA /TMBLR52025122300978601 (Ref# 1568804)</t>
  </si>
  <si>
    <t>RTGS/MTC BUSINESS/HDFCR52025122398281151</t>
  </si>
  <si>
    <t>RTGS/SMS And Assemblies/TMBLR52025122300985700</t>
  </si>
  <si>
    <t>RTGS/SRI AMBAL TR/ICICR42025122300572442</t>
  </si>
  <si>
    <t>RTGS/SMS And Assemblies/TMBLR52025122300040295</t>
  </si>
  <si>
    <t>RTGS/ARUL A/KVBLR52025122462862708</t>
  </si>
  <si>
    <t>RTGS/MTC BUSINESS/HDFCR52025122498865824</t>
  </si>
  <si>
    <t>NEFT/PANDURANGAN/TMBLH25358126777</t>
  </si>
  <si>
    <t>210700250122301 - Loan Payoff (Ref# 1568805)</t>
  </si>
  <si>
    <t>TR/CHEPA/K S S ENRTERPRISES</t>
  </si>
  <si>
    <t>RTGS/MTC BUSINESS/HDFCR52025122599131741</t>
  </si>
  <si>
    <t>RTGS/SAMVARDHANA /TMBLR52025122600313891 (Ref# 1568806)</t>
  </si>
  <si>
    <t>TR/CHEPA/K S S ENTERPRISES (Ref# 1568807)</t>
  </si>
  <si>
    <t>RTGS/SRI AMBAL TR/ICICR42025123100518077</t>
  </si>
  <si>
    <t>RTGS/SAMVARDHANA /TMBLR52025123100854651 (Ref# 1568808)</t>
  </si>
  <si>
    <t>TR/CHEPA/VEERA INDUSTRIES (Ref# 1568809)</t>
  </si>
  <si>
    <t>RTGS/SRISAIENTERP/HDFCR52025123151562542</t>
  </si>
  <si>
    <t>RTGS/SMS And Assemblies/TMBLR52025123100890004</t>
  </si>
  <si>
    <t>NEFT/ITDTAX REFUND 2021/SBIN226001093615</t>
  </si>
  <si>
    <t>TR/CHEPA/ILAKIYA (Ref# 1568810)</t>
  </si>
  <si>
    <t>NEFT/SARANYA V/TMBLH26002108294 (Ref# 1568811)</t>
  </si>
  <si>
    <t>NEFT/P ERULAPPAN/TMBLH26002130489 (Ref# 1568813)</t>
  </si>
  <si>
    <t>TR/CHEPA/VEERA INDUSTRIES (Ref# 1568814)</t>
  </si>
  <si>
    <t>eBank/Tr To XAVIERDAS.A / TRANSFER TO Mr.Xavie</t>
  </si>
  <si>
    <t>IMPS/SRI AMBAL TRADE/600519296327/ICIC/AFFANMETAL</t>
  </si>
  <si>
    <t>IMPS/SRI AMBAL TRADE/600612505946/ICIC/AFFANMETAL</t>
  </si>
  <si>
    <t>RTGS/SMS And Assemblies/TMBLR52026010600660857</t>
  </si>
  <si>
    <t>IMPS/SRI AMBAL TRADE/600715100467/ICIC/AFFANMETAL</t>
  </si>
  <si>
    <t>RTGS/MTC BUSINESS/HDFCR52026010754353523</t>
  </si>
  <si>
    <t>RTGS/SRI SUN ENTE/HDFCR52026010754303064</t>
  </si>
  <si>
    <t>TR/CHEPA/VEERA INDUSTRIES (Ref# 1568817)</t>
  </si>
  <si>
    <t>TIN/26010600331997/TAX (Ref# 1568815)</t>
  </si>
  <si>
    <t>TIN/26010600333852/TAX (Ref# 1568816)</t>
  </si>
  <si>
    <t>RTGS/SAMVARDHANA /TMBLR52026010800934854 (Ref# 1568818)</t>
  </si>
  <si>
    <t>RTGS/MTC BUSINESS/HDFCR52026010854784957</t>
  </si>
  <si>
    <t>RTGS/SMS And Assemblies/TMBLR52026010800961107</t>
  </si>
  <si>
    <t>RTGS/SMS And Assemblies/TMBLR52026010800002043</t>
  </si>
  <si>
    <t>NEFT/RAMAJAYAM/TMBLH26008002138</t>
  </si>
  <si>
    <t>NEFT/SARAVANAN M/TMBLH26008002166</t>
  </si>
  <si>
    <t>NEFT/KANNAN/TMBLH26008002256</t>
  </si>
  <si>
    <t>NEFT/PANDURANGAN/TMBLH26008002290</t>
  </si>
  <si>
    <t>NEFT/vinod kumar/TMBLH26008002334</t>
  </si>
  <si>
    <t>IMPS/SRI AMBAL TRADE/600910805656/ICIC/AFFANMETAL</t>
  </si>
  <si>
    <t>NEFT/SAMVARDHANA MOTHER/TMBLH26009100357 (Ref# 1568822)</t>
  </si>
  <si>
    <t>RTGS/SAMVARDHANA /TMBLR52026010900100428 (Ref# 1568821)</t>
  </si>
  <si>
    <t>TR/CHEPA/K S S ENTERPRISES (Ref# 1568819)</t>
  </si>
  <si>
    <t>RTGS/SRI SUN ENTE/HDFCR52026010955197665</t>
  </si>
  <si>
    <t>NEFT/GST/TMBLH26009123897 (Ref# 1568820)</t>
  </si>
  <si>
    <t>NEFT/G PREETHI/TMBLH26009144793 (Ref# 1568823)</t>
  </si>
  <si>
    <t>NEFT/TAMILSELVAN G/TMBLH26009144901 (Ref# 1568824)</t>
  </si>
  <si>
    <t>NEFT/A ARUL/TMBLH26009149808 (Ref# 1568825)</t>
  </si>
  <si>
    <t>RTGS/MTC BUSINESS/HDFCR52026011055661665</t>
  </si>
  <si>
    <t>eBank/642258431/MR.XAVIER HOME EB</t>
  </si>
  <si>
    <t>RTGS/MTC BUSINESS/HDFCR52026011255989818</t>
  </si>
  <si>
    <t>TR/CHEPA/K S S ENTERPRISES (Ref# 1568827)</t>
  </si>
  <si>
    <t>JL Disp 210700300100320</t>
  </si>
  <si>
    <t>RTGS/ARUL A/TMBLR52026011200400739 (Ref# 1568830)</t>
  </si>
  <si>
    <t>RTGS/SAMVARDHANA /TMBLR52026011200430745 (Ref# 1568828)</t>
  </si>
  <si>
    <t>RTGS/RAMAJAYAM/TMBLR52026011200441122</t>
  </si>
  <si>
    <t>NEFT/PANDURANGAN/TMBLH26012441597</t>
  </si>
  <si>
    <t>JL Disp 210700300100323</t>
  </si>
  <si>
    <t>RTGS/MTC BUSINESS/HDFCR52026011356493697</t>
  </si>
  <si>
    <t>RTGS/ARUL A/TMBLR52026011300553415 (Ref# 1568832)</t>
  </si>
  <si>
    <t>RTGS/SAMVARDHANA /TMBLR52026011300575963 (Ref# 1568831)</t>
  </si>
  <si>
    <t>eBank/Tr From VEERA INDUSTRIES / Trf</t>
  </si>
  <si>
    <t>eBank/642768421/building approval</t>
  </si>
  <si>
    <t>RTGS/SRI SUN ENTE/HDFCR52026011356629185</t>
  </si>
  <si>
    <t>TR/CHEPA/MARIYA CHRISTY RATHIKA (Ref# 1568833)</t>
  </si>
  <si>
    <t>IMPS/SRI AMBAL TRADE/601410408352/ICIC/AFFANMETAL</t>
  </si>
  <si>
    <t>RTGS/SAMVARDHANA /TMBLR52026011400705972 (Ref# 1568834)</t>
  </si>
  <si>
    <t>RTGS/MTC BUSINESS/HDFCR52026011456976207</t>
  </si>
  <si>
    <t>eBank/Tr To XAVIERDAS.A / Transfer to Mr.Xavie</t>
  </si>
  <si>
    <t>TR/CHEPA/VEERA INDUSTRIES (Ref# 1568835)</t>
  </si>
  <si>
    <t>NEFT/SRI SAI ENTERPRISE/HDFCH00742148546</t>
  </si>
  <si>
    <t>NEFT/SRI SAI ENTERPRISE/HDFCH00742144117</t>
  </si>
  <si>
    <t>NEFT/SRI SAI ENTERPRISE/HDFCH00742142032</t>
  </si>
  <si>
    <t>RTGS/MTC BUSINESS/HDFCR52026011758150944</t>
  </si>
  <si>
    <t>eBank/643301401/OFFICE EB</t>
  </si>
  <si>
    <t>RTGS/SMS And Assemblies/TMBLR52026011900103616</t>
  </si>
  <si>
    <t>EXPENSES</t>
  </si>
  <si>
    <t>RETURN</t>
  </si>
  <si>
    <t>Gold Loan Disbursed -2301</t>
  </si>
  <si>
    <t>Gold Loan Disbursed -0227</t>
  </si>
  <si>
    <t>Gold Loan Disbursed -0320</t>
  </si>
  <si>
    <t>Gold Loan Disbursed -0323</t>
  </si>
  <si>
    <t>BANK FIN</t>
  </si>
  <si>
    <t>Loan -0057</t>
  </si>
  <si>
    <t>Loan -0063</t>
  </si>
  <si>
    <t>Loan -2301</t>
  </si>
  <si>
    <t>Loan -1923</t>
  </si>
  <si>
    <t>TAX</t>
  </si>
  <si>
    <t>AROKIYA TRADERS</t>
  </si>
  <si>
    <t>PURCHASE</t>
  </si>
  <si>
    <t>BADRINATH</t>
  </si>
  <si>
    <t>BUILDING APPROVAL</t>
  </si>
  <si>
    <t>DHANALAKSHMI RAJKA</t>
  </si>
  <si>
    <t>ILAKKIA</t>
  </si>
  <si>
    <t>JOTHI LAKSHMI.E</t>
  </si>
  <si>
    <t>K S S ENTERPRISES</t>
  </si>
  <si>
    <t>KANNAN</t>
  </si>
  <si>
    <t>MARIYA CHRISTY RATHIKA</t>
  </si>
  <si>
    <t>NAVANEETHAN RAJKAN</t>
  </si>
  <si>
    <t>PANDURANGAN</t>
  </si>
  <si>
    <t>PANKAJ ACHARYA</t>
  </si>
  <si>
    <t>PRIYADHARSHINI SUR</t>
  </si>
  <si>
    <t>RAJKANTH JAYARAM</t>
  </si>
  <si>
    <t>RAMAJAYAM</t>
  </si>
  <si>
    <t>SAMVARDHANA MOTHER</t>
  </si>
  <si>
    <t>SARALA B</t>
  </si>
  <si>
    <t>SARAVANAN M</t>
  </si>
  <si>
    <t>SIVARAJANI CHENGUT</t>
  </si>
  <si>
    <t>SMS AND ASSEMBLIES</t>
  </si>
  <si>
    <t>SRI PACHAIYAMMAN B</t>
  </si>
  <si>
    <t>SURESH BABU D</t>
  </si>
  <si>
    <t>TAMILSELVAN G</t>
  </si>
  <si>
    <t>VICTORY SCALES</t>
  </si>
  <si>
    <t>VIHAAN</t>
  </si>
  <si>
    <t>VINOD KUMAR</t>
  </si>
  <si>
    <t>XAVIERDAS.A</t>
  </si>
  <si>
    <t xml:space="preserve">ARUL A </t>
  </si>
  <si>
    <t>PVT FIN</t>
  </si>
  <si>
    <t>DOUBT</t>
  </si>
  <si>
    <t>COMPANY NAME</t>
  </si>
  <si>
    <t xml:space="preserve">PREETHI G </t>
  </si>
  <si>
    <t>DHANUPRAKASH</t>
  </si>
  <si>
    <t>DHARMARAJ</t>
  </si>
  <si>
    <t>INFANT RAJ R</t>
  </si>
  <si>
    <t>LATHA</t>
  </si>
  <si>
    <t>M S A ENTERP</t>
  </si>
  <si>
    <t>METAL AND SC</t>
  </si>
  <si>
    <t>MTC BUSINESS</t>
  </si>
  <si>
    <t>MURUGANANTHA</t>
  </si>
  <si>
    <t>PUSHPANATAHAN</t>
  </si>
  <si>
    <t>S S S TRADER</t>
  </si>
  <si>
    <t>SRI AMBAL TRADE</t>
  </si>
  <si>
    <t>SRI SAI ENTERPRISE</t>
  </si>
  <si>
    <t>SRI SUN ENTE</t>
  </si>
  <si>
    <t>UTHIRIYA PRADEE</t>
  </si>
  <si>
    <t>VELMURUHAN</t>
  </si>
  <si>
    <t>VENKATESAN</t>
  </si>
  <si>
    <t>VIKNESH KARM</t>
  </si>
  <si>
    <t xml:space="preserve">SRINIVAS K R </t>
  </si>
  <si>
    <t>ODD FIG</t>
  </si>
  <si>
    <t xml:space="preserve">NATARAJAN M </t>
  </si>
  <si>
    <t xml:space="preserve">GOPINATH P T </t>
  </si>
  <si>
    <t>ANANDH S</t>
  </si>
  <si>
    <t>(blank)</t>
  </si>
  <si>
    <t>Grand Total</t>
  </si>
  <si>
    <t>JAN(26)</t>
  </si>
  <si>
    <t>Total Sum of DR</t>
  </si>
  <si>
    <t>Sum of DR</t>
  </si>
  <si>
    <t>Total Sum of CR</t>
  </si>
  <si>
    <t>Sum of CR</t>
  </si>
  <si>
    <t>Values</t>
  </si>
  <si>
    <t>CASH Total</t>
  </si>
  <si>
    <t>SIS CON Total</t>
  </si>
  <si>
    <t>ODD FIG Total</t>
  </si>
  <si>
    <t>DOUBT Total</t>
  </si>
  <si>
    <t>BANK FIN Total</t>
  </si>
  <si>
    <t>PVT FIN Total</t>
  </si>
  <si>
    <t>RETURN Total</t>
  </si>
  <si>
    <t>Insurance Total</t>
  </si>
  <si>
    <t>EXPENSES Total</t>
  </si>
  <si>
    <t>PURCHASE Total</t>
  </si>
  <si>
    <t>SALES Total</t>
  </si>
  <si>
    <t>(blank) Total</t>
  </si>
  <si>
    <t>AFFAN METALS
TMB-5048-CA</t>
  </si>
  <si>
    <t>I/W RTGS RTN -(NOT REP)</t>
  </si>
  <si>
    <t>RTGS</t>
  </si>
  <si>
    <t>ACC 1</t>
  </si>
  <si>
    <t>ACC 2</t>
  </si>
  <si>
    <t>ACC 3</t>
  </si>
  <si>
    <t>TMB-5048-CA</t>
  </si>
  <si>
    <t>PURCHASE
 TOTAL</t>
  </si>
  <si>
    <t>SALES 
TOTAL</t>
  </si>
  <si>
    <t>JAN (26)</t>
  </si>
  <si>
    <t xml:space="preserve">
 TOTAL PURCHASE</t>
  </si>
  <si>
    <t xml:space="preserve">
TOTAL SALES </t>
  </si>
  <si>
    <t>INWARD CHEQUE RETURN</t>
  </si>
  <si>
    <t>YES</t>
  </si>
  <si>
    <t>ECS CHEQUE RETURN</t>
  </si>
  <si>
    <t>IRREUGULAR REPAYMENT FINANCE</t>
  </si>
  <si>
    <t>PRIVATE FINANCE ON DATE</t>
  </si>
  <si>
    <t>NO</t>
  </si>
  <si>
    <t>PRIVATE FINANCE  10%</t>
  </si>
  <si>
    <t>BANK FINANCE 10%</t>
  </si>
  <si>
    <t>GSTR RECEIVED</t>
  </si>
  <si>
    <t>TURN OVER (MONTHLY) INCREASE / DECREASE</t>
  </si>
  <si>
    <t>INCREASE</t>
  </si>
  <si>
    <t xml:space="preserve">Is there any other bank statement? – NEED STATEMENT  </t>
  </si>
  <si>
    <t>OUR FEED BACK</t>
  </si>
  <si>
    <t>AFFAN METALS &amp; VEERA INDUSTRIES - 2 ACC PURCHASE &amp;SALES</t>
  </si>
  <si>
    <r>
      <rPr>
        <b/>
        <sz val="11"/>
        <color rgb="FFFF0000"/>
        <rFont val="Calibri"/>
        <family val="2"/>
        <scheme val="minor"/>
      </rPr>
      <t>AFFAN METALS
TMB-5048-CA</t>
    </r>
    <r>
      <rPr>
        <b/>
        <sz val="11"/>
        <color theme="1"/>
        <rFont val="Calibri"/>
        <family val="2"/>
        <scheme val="minor"/>
      </rPr>
      <t xml:space="preserve">
PURCHASE</t>
    </r>
  </si>
  <si>
    <r>
      <rPr>
        <b/>
        <sz val="11"/>
        <color rgb="FFFF0000"/>
        <rFont val="Calibri"/>
        <family val="2"/>
        <scheme val="minor"/>
      </rPr>
      <t>AFFAN METALS
TMB-5048-CA</t>
    </r>
    <r>
      <rPr>
        <b/>
        <sz val="11"/>
        <color theme="1"/>
        <rFont val="Calibri"/>
        <family val="2"/>
        <scheme val="minor"/>
      </rPr>
      <t xml:space="preserve">
SALES</t>
    </r>
  </si>
  <si>
    <t>ANALYSED BY POOJA SRI (3.15 TO 4.20 PM)</t>
  </si>
  <si>
    <t>ITDTAX REFUND</t>
  </si>
  <si>
    <t>VEERA INDUSTRIES</t>
  </si>
  <si>
    <t>XXXXXXXXXXXXXXXXXXXXXXXXXXXXXXXXXXXXXXXXXXXXXXXXXXXXXXXXXXXXXXXXXXXXXXXXXXXXXXXXXXXXXXXXXXXXXX</t>
  </si>
  <si>
    <t>XXXXXXXXXX00123</t>
  </si>
  <si>
    <t>Cash Credit Account</t>
  </si>
  <si>
    <t>VeeraTMBCCAug2025toJan2026190126.pdf</t>
  </si>
  <si>
    <t>4Y3H1770283607699</t>
  </si>
  <si>
    <t>TMB-0123-OD</t>
  </si>
  <si>
    <t>Bill Id</t>
  </si>
  <si>
    <t>JAN</t>
  </si>
  <si>
    <t>eBank</t>
  </si>
  <si>
    <t>TIN</t>
  </si>
  <si>
    <t>Interest Charges</t>
  </si>
  <si>
    <t>CROWN TRADER</t>
  </si>
  <si>
    <t>ROYAL AGENCY</t>
  </si>
  <si>
    <t>ADIMOOLAM N</t>
  </si>
  <si>
    <t>GUNA S</t>
  </si>
  <si>
    <t>GLOBAL ENTERPRISE</t>
  </si>
  <si>
    <t>BARATHKUMAR</t>
  </si>
  <si>
    <t>I/W CHQ RTN CHG</t>
  </si>
  <si>
    <t>VEERA INDUSTRIES
TMB-0123-OD(4.03 CR)</t>
  </si>
  <si>
    <t>ANALYSED  BY : AKHILA(3.20PM-3.50PM)</t>
  </si>
  <si>
    <t>AFFAN METALS-TMB-5048-CA</t>
  </si>
  <si>
    <t>UNMATCH 
SIS CON</t>
  </si>
  <si>
    <t>VEERA PROPERTIES</t>
  </si>
  <si>
    <t>UNMATCH 
SIS CON Total</t>
  </si>
  <si>
    <t>EXPENSE</t>
  </si>
  <si>
    <t>EB BILL</t>
  </si>
  <si>
    <t>Penal Charges</t>
  </si>
  <si>
    <t>Salary Paid</t>
  </si>
  <si>
    <t>Utilities</t>
  </si>
  <si>
    <t>EXPENSE Total</t>
  </si>
  <si>
    <t>AARUPADAI CORPORAT</t>
  </si>
  <si>
    <t>ACHARYA STEE</t>
  </si>
  <si>
    <t>ANAND THAINESH</t>
  </si>
  <si>
    <t>AROKIYA TRAD</t>
  </si>
  <si>
    <t>BARRANQUESA INDIA</t>
  </si>
  <si>
    <t>D J ARCHITECTS</t>
  </si>
  <si>
    <t>DAYANA SUNDARA GLA</t>
  </si>
  <si>
    <t>JAGAN DURAI</t>
  </si>
  <si>
    <t>JUBILENT MOTORWORK</t>
  </si>
  <si>
    <t>K PANDURANGAN AND VA</t>
  </si>
  <si>
    <t>MOHANDOSS PARAMASI</t>
  </si>
  <si>
    <t>NAMASIVAYAM M</t>
  </si>
  <si>
    <t>OM ENTERPRIS</t>
  </si>
  <si>
    <t>PUNITHA G</t>
  </si>
  <si>
    <t>RAJASEKARAN RAVICHANDRAN</t>
  </si>
  <si>
    <t>RAM NARAYAN</t>
  </si>
  <si>
    <t>S R RATHINAM</t>
  </si>
  <si>
    <t>SELVAM V</t>
  </si>
  <si>
    <t>SUNDARA PRABHU S</t>
  </si>
  <si>
    <t>THE KCP LTD</t>
  </si>
  <si>
    <t>VENUS INFRA</t>
  </si>
  <si>
    <t>VINOD KUMAR C</t>
  </si>
  <si>
    <t>MEGHA STEELS</t>
  </si>
  <si>
    <t>S B METALS</t>
  </si>
  <si>
    <t>S M STEEL AL</t>
  </si>
  <si>
    <t>STAR INDUSTRI</t>
  </si>
  <si>
    <t>TR/CHEPA/AFFAN METALS</t>
  </si>
  <si>
    <t>Bill Id:[210DBP2600010]:PURCHASE</t>
  </si>
  <si>
    <t>Bill Id:[210DBP2600010]:Interest Income A/c</t>
  </si>
  <si>
    <t>NEFT/THE KCP LTD/TMBLH25213479485 (Ref# 1524746)</t>
  </si>
  <si>
    <t>TR/CHEPA/AFFAN METALS (Ref# 1524745)</t>
  </si>
  <si>
    <t>TR/CHEPA/AFFAN METALS (Ref# 1524748)</t>
  </si>
  <si>
    <t>RTGS/ACHARYA STEE/HDFCR52025080297215695</t>
  </si>
  <si>
    <t>NEFT/MOHANDOSS PARAMASI/TMBLH25214604509 (Ref# 1524747)</t>
  </si>
  <si>
    <t>TR/CHEPA/AFFAN METALS (Ref# 1524749)</t>
  </si>
  <si>
    <t>RTGS/ACHARYA STEE/HDFCR52025080497334713</t>
  </si>
  <si>
    <t>NEFT/RAM NARAYAN/TMBLH25216779383 (Ref# 1524750)</t>
  </si>
  <si>
    <t>eBank/Tr To VEERA PROPERTIES / VEERA P</t>
  </si>
  <si>
    <t>NEFT/D J ARCHITECTS/TMBLH25216790086 (Ref# 1541762)</t>
  </si>
  <si>
    <t>eBank/Tr To AFFAN METALS / TRANSFER TO AFFAN</t>
  </si>
  <si>
    <t>RTGS/VENUS INFRA /TMBLR52025080400799445 (Ref# 1541761)</t>
  </si>
  <si>
    <t>NEFT/Jagan Durai/TMBLH25217913036</t>
  </si>
  <si>
    <t>eBank/Tr To RAJASEKARAN RAVICHANDRAN / SALARY</t>
  </si>
  <si>
    <t>NEFT/ANAND T/TMBLH25217913218</t>
  </si>
  <si>
    <t>TR/CHEPA/VEERA PROPERTIES (Ref# 1541764)</t>
  </si>
  <si>
    <t>TR/CHEPA/DEVARAJU RAJAMANIKKAM (Ref# 1541763)</t>
  </si>
  <si>
    <t>NEFT/JUBILENT MOTORWORK/TMBLH25217917368 (Ref# 1541765)</t>
  </si>
  <si>
    <t>eBank/613284101/FACTORY EB BILL</t>
  </si>
  <si>
    <t>eBank/613284551/R.A PURAM EB</t>
  </si>
  <si>
    <t>TR/CHEPA/VEERA PROPERTIES (Ref# 1541766)</t>
  </si>
  <si>
    <t>eBank/Tr From AFFAN METALS / TRANSFER TO VEERA</t>
  </si>
  <si>
    <t>eBank/CBDT/25080600697409</t>
  </si>
  <si>
    <t>eBank/CBDT/25080600701516</t>
  </si>
  <si>
    <t>TR/CHEPA/VEERA PROPERIES (Ref# 1541767)</t>
  </si>
  <si>
    <t>NEFT/RAM NARAYAN/TMBLH25219250831</t>
  </si>
  <si>
    <t>TR/CHEPA/VEERA PROPERTIES (Ref# 1541768)</t>
  </si>
  <si>
    <t>RTGS/S B METALS/CBINR52025080810007608</t>
  </si>
  <si>
    <t>CS/CHEPA/SELF (Ref# 1524751)</t>
  </si>
  <si>
    <t>TR/CHEPA/AFFAN METALS (Ref# 1541769)</t>
  </si>
  <si>
    <t>eBank/Tr To RAJASEKARAN RAVICHANDRAN / TRF</t>
  </si>
  <si>
    <t>NEFT/PANDURANGAN/TMBLH25223674180 (Ref# 1541770)</t>
  </si>
  <si>
    <t>RTGS/S M STEEL AL/UTIBR62025081219015537</t>
  </si>
  <si>
    <t>INW CHQ RET CHRGS/1503640/12082025/002CTS</t>
  </si>
  <si>
    <t>INW CHQ RET CHRGS/1503639/12082025/065CTS</t>
  </si>
  <si>
    <t>RTGS/S M STEEL AL/UTIBR62025081219038952</t>
  </si>
  <si>
    <t>eBank/Tr From AFFAN METALS / TRF</t>
  </si>
  <si>
    <t>RTGS/ROYAL AGENCY/TMBLR52025081200801260 (Ref# 1541772)</t>
  </si>
  <si>
    <t>RTGS/CROWN TRADER/TMBLR52025081200801322 (Ref# 1541773)</t>
  </si>
  <si>
    <t>CS/CHEPA/SELF (Ref# 1524752)</t>
  </si>
  <si>
    <t>TR/CHEPA/RAJASEKARAN (Ref# 1541774)</t>
  </si>
  <si>
    <t>TR/CHEPA/VEERA PROPERTIES (Ref# 1541775)</t>
  </si>
  <si>
    <t>Bill Id:[210DBP2600011]:PURCHASE</t>
  </si>
  <si>
    <t>Bill Id:[210DBP2600011]:Interest Income A/c</t>
  </si>
  <si>
    <t>TR/CHEPA/AFFAN METALS (Ref# 1541778)</t>
  </si>
  <si>
    <t>NEFT/GST/TMBLH25230415577 (Ref# 1541776)</t>
  </si>
  <si>
    <t>TR/CHEPA/VEERA PROPERTIES (Ref# 1541777)</t>
  </si>
  <si>
    <t>TR/CHEPA/AFFAN METALS (Ref# 1541779)</t>
  </si>
  <si>
    <t>RTGS/ACHARYA STEE/HDFCR52025082052512549</t>
  </si>
  <si>
    <t>TR/CHEPA/AFFAN METALS (Ref# 1541780)</t>
  </si>
  <si>
    <t>eBank/Tr To VEERA PROPERTIES</t>
  </si>
  <si>
    <t>RTGS/ADIMOOLAM N/ICICR52025082100805504</t>
  </si>
  <si>
    <t>RTGS/ADIMOOLAM N/ICICR52025082100805355</t>
  </si>
  <si>
    <t>RTGS/S GUNA/ICICR42025082100529269</t>
  </si>
  <si>
    <t>eBank/Tr To AFFAN METALS / TRF</t>
  </si>
  <si>
    <t>NEFT/Jagan Durai/TMBLH25233755945</t>
  </si>
  <si>
    <t>NEFT/RAM NARAYAN/TMBLH25233756073</t>
  </si>
  <si>
    <t>TR/CHEPA/M NAMASIVAYAM (Ref# 1541782)</t>
  </si>
  <si>
    <t>TR/CHEPA/VEERA PROPERTIES (Ref# 1541781)</t>
  </si>
  <si>
    <t>TR/CHEPA/VEERA PROPERTIES (Ref# 1541784)</t>
  </si>
  <si>
    <t>RTGS/PUNITHA G/TMBLR52025082200886031 (Ref# 1541783)</t>
  </si>
  <si>
    <t>RTGS/SRI AMBAL TR/TMBLR52025082200890448 (Ref# 1541785)</t>
  </si>
  <si>
    <t>Bill Id:[210DBP2600007]:</t>
  </si>
  <si>
    <t>eBank/Tr From AFFAN METALS</t>
  </si>
  <si>
    <t>TR/CHEPA/SELVAM V (Ref# 1541786)</t>
  </si>
  <si>
    <t>TR/CHEPA/VEERA PROPERTIES (Ref# 1541787)</t>
  </si>
  <si>
    <t>TR/CHEPA/VEERA PROPERTIES (Ref# 1541788)</t>
  </si>
  <si>
    <t>NEFT/THE KCP LTD/TMBLH25242708263 (Ref# 1541789)</t>
  </si>
  <si>
    <t>210700050900123:Int.Coll:01-08-2025 to 31-08-2025</t>
  </si>
  <si>
    <t>RTGS/ACHARYA STEE/HDFCR52025090256813541</t>
  </si>
  <si>
    <t>TR/CHEPA/VEERA PROPERTIES (Ref# 1563131)</t>
  </si>
  <si>
    <t>NEFT/MOHANDASS PARAMASI/TMBLH25247300833 (Ref# 1563132)</t>
  </si>
  <si>
    <t>TIN/25090400175292/TAX (Ref# 1541802)</t>
  </si>
  <si>
    <t>TIN/25090400172416/TAX (Ref# 1541801)</t>
  </si>
  <si>
    <t>IMPS/STAR INDUSTRI/525211566215/FDRL/steel</t>
  </si>
  <si>
    <t>NEFT/RAM NARAYAN/TMBLH25252905762</t>
  </si>
  <si>
    <t>RTGS/S S S TRADER/TMBLR52025090900926348 (Ref# 1541803)</t>
  </si>
  <si>
    <t>NEFT/ANAND T/TMBLH25252932782</t>
  </si>
  <si>
    <t>TR/CHEPA/VEERA PROPERTIES</t>
  </si>
  <si>
    <t>Bill Id:[210DBP2600013]:PURCHASE</t>
  </si>
  <si>
    <t>Bill Id:[210DBP2600013]:Interest Income A/c</t>
  </si>
  <si>
    <t>Bill Id:[210DBP2600012]:Interest Income A/c</t>
  </si>
  <si>
    <t>Bill Id:[210DBP2600012]:PURCHASE</t>
  </si>
  <si>
    <t>NEFT/GST/TMBLH25253020014 (Ref# 1541804)</t>
  </si>
  <si>
    <t>eBank/Tr To AMOUNT PAYABLE TO CASHFREE / sELVAM SI</t>
  </si>
  <si>
    <t>eBank/Tr To RAJASEKARAN RAVICHANDRAN / Salary</t>
  </si>
  <si>
    <t>NEFT/Jagan Durai/TMBLH25253020428</t>
  </si>
  <si>
    <t>eBank/Tr To AFFAN METALS / trf</t>
  </si>
  <si>
    <t>eBank/Tr To VEERA PROPERTIES / TRF</t>
  </si>
  <si>
    <t>CS/CHEPA/SELF (Ref# 1541810)</t>
  </si>
  <si>
    <t>RTGS/ACHARYA STEE/HDFCR52025091260336623</t>
  </si>
  <si>
    <t>RTGS/AROKIYA TRAD/TMBLR52025091200298786 (Ref# 1541805)</t>
  </si>
  <si>
    <t>RTGS/OM ENTERPRIS/TMBLR52025091200299133 (Ref# 1541806)</t>
  </si>
  <si>
    <t>TR/CHEPA/VEERA PROPERTIES (Ref# 1541807)</t>
  </si>
  <si>
    <t>NEFT/PANKAJ ACHARYA/TMBLH25258557461</t>
  </si>
  <si>
    <t>TR/CHEPA/AFFAN METALS (Ref# 1541808)</t>
  </si>
  <si>
    <t>NEFT/OM ENTERPRISES/TMBLH25258575684 (Ref# 1563145)</t>
  </si>
  <si>
    <t>IFFCO TOKIO GENERA (Ref# 1563144)</t>
  </si>
  <si>
    <t>TR/CHEPA/VEERA PROPERTIES (Ref# 1563146)</t>
  </si>
  <si>
    <t>NEFT/RAM NARAYAN/TMBLH25259730627 (Ref# 1563147)</t>
  </si>
  <si>
    <t>TR/CHEPA/AFFAN METALS (Ref# 1563148)</t>
  </si>
  <si>
    <t>NEFT/THE K C P LTD/TMBLH25262055876 (Ref# 1563150)</t>
  </si>
  <si>
    <t>NEFT/GST/TMBLH25262058684 (Ref# 1563149)</t>
  </si>
  <si>
    <t>eBank/Tr To SELVAM V / trf</t>
  </si>
  <si>
    <t>CS/CHEPA/SELF (Ref# 1541809)</t>
  </si>
  <si>
    <t>TR/CHEPA/VEERA PROPERTES (Ref# 1563151)</t>
  </si>
  <si>
    <t>NEFT/SRI PACHAIYAMMAN B/TMBLH25263183950 (Ref# 1563152)</t>
  </si>
  <si>
    <t>NEFT/MOHANDAS PARAMASIV/TMBLH25265347488 (Ref# 1563153)</t>
  </si>
  <si>
    <t>NEFT/S R RATHINAM/TMBLH25265368885 (Ref# 1563154)</t>
  </si>
  <si>
    <t>RTGS/ACHARYA STEE/HDFCR52025092364072721</t>
  </si>
  <si>
    <t>TR/CHEPA/VEERA PROPERTIES (Ref# 1563155)</t>
  </si>
  <si>
    <t>RTGS/S M STEEL AL/UTIBR62025092326663650</t>
  </si>
  <si>
    <t>TR/CHEPA/AFFAN METALS (Ref# 1563156)</t>
  </si>
  <si>
    <t>RTGS/S M STEEL AL/UTIBR62025092427021593</t>
  </si>
  <si>
    <t>RTGS/ACHARYA STEE/HDFCR52025092665357169</t>
  </si>
  <si>
    <t>TR/CHEPA/SELVAM V (Ref# 1563157)</t>
  </si>
  <si>
    <t>TR/CHEPA/VEERA PROPERTIES (Ref# 1563158)</t>
  </si>
  <si>
    <t>TR/CHEPA/VEERA PROPERTIES (Ref# 1563159)</t>
  </si>
  <si>
    <t>210ILCR260044:LC Charges</t>
  </si>
  <si>
    <t>TR/CHEPA/VEERAPROPERTIES (Ref# 1563160)</t>
  </si>
  <si>
    <t>CS/CHEPA/SELF (Ref# 1563180)</t>
  </si>
  <si>
    <t>210700050900123:Int.Coll:01-09-2025 to 30-09-2025</t>
  </si>
  <si>
    <t>210700050900123:Penal Charge Coll:30-09-2025 to 3</t>
  </si>
  <si>
    <t>eBank/Tr To RAJASEKARAN RAVICHANDRAN / Lap Printer</t>
  </si>
  <si>
    <t>RTGS/S M STEEL AL/UTIBR62025100228503307</t>
  </si>
  <si>
    <t>NEFT/MOHANDOSS PARAMASI/TMBLH25276578630 (Ref# 1563161)</t>
  </si>
  <si>
    <t>TR/CHEPA/AFFAN METALS (Ref# 1563162)</t>
  </si>
  <si>
    <t>TR/CHEPA/VEERA PROPERTIES (Ref# 1563163)</t>
  </si>
  <si>
    <t>TR/CHEPA/AFFAN METALS (Ref# 1563164)</t>
  </si>
  <si>
    <t>TIN/25100600583568/TAX (Ref# 1563166)</t>
  </si>
  <si>
    <t>TIN/25100600575091/TAX (Ref# 1563165)</t>
  </si>
  <si>
    <t>TR/CHEPA/STAMP CHARGES</t>
  </si>
  <si>
    <t>TR/CHEPA/AFFAN METALS (Ref# 1563167)</t>
  </si>
  <si>
    <t>RTGS/S M STEEL AL/UTIBR62025100829670648</t>
  </si>
  <si>
    <t>TR/CHEPA/AFFAN METALS (Ref# 1563168)</t>
  </si>
  <si>
    <t>CS/CHEPA/SELF (Ref# 1563179)</t>
  </si>
  <si>
    <t>eBank/625222341/Godown EB</t>
  </si>
  <si>
    <t>eBank/625225511/AXIS sb Ac Opening</t>
  </si>
  <si>
    <t>eBank/Tr From AFFAN METALS / trf</t>
  </si>
  <si>
    <t>NEFT/ANAND T/TMBLH25283546137</t>
  </si>
  <si>
    <t>NEFT/Jagan Durai/TMBLH25283546188</t>
  </si>
  <si>
    <t>eBank/Tr To VEERA PROPERTIES / trf</t>
  </si>
  <si>
    <t>eBank/Tr To RAJASEKARAN RAVICHANDRAN / salary</t>
  </si>
  <si>
    <t>NEFT/GST/TMBLH25283554698 (Ref# 1563169)</t>
  </si>
  <si>
    <t>NEFT/PANKAJ ACHARYA/TMBLH25286849668 (Ref# 1563170)</t>
  </si>
  <si>
    <t>Bill Id:[210DBP2600014]:PURCHASE</t>
  </si>
  <si>
    <t>Bill Id:[210DBP2600014]:Interest Income A/c</t>
  </si>
  <si>
    <t>TR/CHEPA/AFFAN METALS (Ref# 1563173)</t>
  </si>
  <si>
    <t>eBank/Tr To VEERA PROPERTIES / Veera P</t>
  </si>
  <si>
    <t>TR/CHEPA/VEERA PROPERTIES (Ref# 1563174)</t>
  </si>
  <si>
    <t>TR/CHEPA/SELVAM V (Ref# 1563171)</t>
  </si>
  <si>
    <t>RTGS/ACHARYA STEE/HDFCR52025101572409463</t>
  </si>
  <si>
    <t>NEFT/PANDURANGAN/TMBLH25288109370 (Ref# 1563175)</t>
  </si>
  <si>
    <t>eBank/Tr To RAJASEKARAN RAVICHANDRAN / Sweet purch</t>
  </si>
  <si>
    <t>RTGS/ACHARYA STEE/HDFCR52025102475645153</t>
  </si>
  <si>
    <t>eBank/Tr To SELVAM V / Loan</t>
  </si>
  <si>
    <t>CS/CHEPA/SELF (Ref# 1563230)</t>
  </si>
  <si>
    <t>GST_Refund/210700050900123/S15672270/23-04-2025</t>
  </si>
  <si>
    <t>GST_Refund/210700050900123/S9831072/25-08-2025</t>
  </si>
  <si>
    <t>TR/CHEPA/EC CHARGES FOR 2024-25</t>
  </si>
  <si>
    <t>TR/CHEPA/VEERA PROPERTIES (Ref# 1563176)</t>
  </si>
  <si>
    <t>Bill Id:[210DBP2600016]:PURCHASE</t>
  </si>
  <si>
    <t>Bill Id:[210DBP2600016]:Interest Income A/c</t>
  </si>
  <si>
    <t>210700050900123:Int.Coll:01-10-2025 to 31-10-2025</t>
  </si>
  <si>
    <t>210700050900123:Penal Charge Coll:31-10-2025 to 3</t>
  </si>
  <si>
    <t>TR/CHEPA/CIBIL CHARGES</t>
  </si>
  <si>
    <t>NEFT/MOHANDOSS PARAMASI/TMBLH25305995635 (Ref# 1563178)</t>
  </si>
  <si>
    <t>RTGS/ACHARYA STEE/HDFCR52025110379054882</t>
  </si>
  <si>
    <t>NeSL 31032021 F25-26</t>
  </si>
  <si>
    <t>NeSL 31032021 F25-26/GST</t>
  </si>
  <si>
    <t>CS/CHEPA/SELF (Ref# 1563229)</t>
  </si>
  <si>
    <t>RTGS/BARRANQUESA /TMBLR52025110300153871 (Ref# 1563181)</t>
  </si>
  <si>
    <t>TR/CHEPA/VEERA PROPERTIES (Ref# 1563182)</t>
  </si>
  <si>
    <t>eBank/Tr From VEERA PROPERTIES / VEERA</t>
  </si>
  <si>
    <t>INW CHQ RET CHRGS/1524712/05112025/065CTS</t>
  </si>
  <si>
    <t>RTGS/GLOBAL ENTER/TMBLR52025110600583044 (Ref# 1563183)</t>
  </si>
  <si>
    <t>TIN/25110600429009/TAX (Ref# 1563184)</t>
  </si>
  <si>
    <t>TIN/25110600432390/TAX (Ref# 1563185)</t>
  </si>
  <si>
    <t>NEFT/STAR HEALTH AND AL/TMBLH25311752643 (Ref# 1563186)</t>
  </si>
  <si>
    <t>eBank/GST/25113300046594</t>
  </si>
  <si>
    <t>TR/CHEPA/CERSAI CHARGES</t>
  </si>
  <si>
    <t>NEFT/JAGAN DURAI/TMBLH25314045455 (Ref# 1563189)</t>
  </si>
  <si>
    <t>NEFT/ANAND THAINESH/TMBLH25314046656 (Ref# 1563188)</t>
  </si>
  <si>
    <t>TR/CHEPA/RAJASEKRAN RAVICHANDRAN (Ref# 1563187)</t>
  </si>
  <si>
    <t>eBank/631043971/Insurance TATA AIG</t>
  </si>
  <si>
    <t>Bill Id:[210DBP2600017]:PURCHASE</t>
  </si>
  <si>
    <t>Bill Id:[210DBP2600017]:Interest Income A/c</t>
  </si>
  <si>
    <t>RTGS/S M STEEL AL/UTIBR62025111236879106</t>
  </si>
  <si>
    <t>RTGS/S M STEEL AL/UTIBR62025111336982597</t>
  </si>
  <si>
    <t>NEFT/K.PANDURANGAN and VA/TMBLH25317434801</t>
  </si>
  <si>
    <t>RTGS/ACHARYA STEE/HDFCR52025111583704255</t>
  </si>
  <si>
    <t>RTGS/ACHARYA STEE/HDFCR52025111583668448</t>
  </si>
  <si>
    <t>RTGS/ACHARYA STEE/HDFCR52025111583706462</t>
  </si>
  <si>
    <t>TR/CHEPA/KSS ENTERPRISES (Ref# 1563191)</t>
  </si>
  <si>
    <t>TR/CHEPA/VEERA PROPERTIES (Ref# 1563192)</t>
  </si>
  <si>
    <t>eBank/631889241/ACT Fiber NET</t>
  </si>
  <si>
    <t>RTGS/PUNITHA G/TMBLR52025111500685193 (Ref# 1563193)</t>
  </si>
  <si>
    <t>IMPS/SRI AMBAL TRADE/532112646799/ICIC/VEERAINDUST</t>
  </si>
  <si>
    <t>TR/CHEPA/AFFAN METALS (Ref# 1563194)</t>
  </si>
  <si>
    <t>TR/CHEPA/AFFAN METALS (Ref# 1563195)</t>
  </si>
  <si>
    <t>RTGS/GST/TMBLR52025111800969386 (Ref# 1563196)</t>
  </si>
  <si>
    <t>CS/CHEPA/SELF (Ref# 1563228)</t>
  </si>
  <si>
    <t>TR/CHEPA/AFFAN METALS (Ref# 1563197)</t>
  </si>
  <si>
    <t>RTGS/MEGHA STEELS/HSBCR22025111933362209</t>
  </si>
  <si>
    <t>TR/CHEPA/AFFAN METALS (Ref# 1563198)</t>
  </si>
  <si>
    <t>RTGS/ACHARYA STEE/TMBLR52025112000177762 (Ref# 1563199)</t>
  </si>
  <si>
    <t>eBank/633333051/EB Mr Selvam</t>
  </si>
  <si>
    <t>RTGS/S M STEEL AL/UTIBR62025112539310716</t>
  </si>
  <si>
    <t>NEFT/MOHANDOSS PARAMASI/TMBLH25329675185 (Ref# 1563200)</t>
  </si>
  <si>
    <t>IMPS/SRI AMBAL TRADE/532915717443/ICIC/VEERAINDUST</t>
  </si>
  <si>
    <t>RTGS/BARRANQUESA INDIA /TMBLR52025112500703102</t>
  </si>
  <si>
    <t>RTGS/BARRANQUESA INDIA /TMBLR52025112600814393</t>
  </si>
  <si>
    <t>RTGS/MEGHA STEELS/HSBCR22025112733493346</t>
  </si>
  <si>
    <t>Bill Id:[210DBP2600019]:Interest Income A/c</t>
  </si>
  <si>
    <t>Bill Id:[210DBP2600019]:PURCHASE</t>
  </si>
  <si>
    <t>eBank/633966341/GODOWN EB</t>
  </si>
  <si>
    <t>NEFT/THE KCP LTD/TMBLH25331943408 (Ref# 1563202)</t>
  </si>
  <si>
    <t>TR/CHEPA/SELVAM V (Ref# 1563201)</t>
  </si>
  <si>
    <t>RTGS/BARRANQUESA INDIA /TMBLR52025112800021782</t>
  </si>
  <si>
    <t>NEFT/BARRANQUESA INDIA PR/TMBLH25333161591</t>
  </si>
  <si>
    <t>210700050900123:Int.Coll:01-11-2025 to 30-11-2025</t>
  </si>
  <si>
    <t>RTGS/ACHARYA STEE/HDFCR52025120490940809</t>
  </si>
  <si>
    <t>eBank/Tr To AFFAN METALS / TRASSFER TO VEERA</t>
  </si>
  <si>
    <t>LEGAL FEES CHARGES</t>
  </si>
  <si>
    <t>NEFT/MOHANDOSS PARAMASI/TMBLH25338738065 (Ref# 1563204)</t>
  </si>
  <si>
    <t>RTGS/ACHARYA STEE/HDFCR52025120591327056</t>
  </si>
  <si>
    <t>TR/CHEPA/VEERA PROPERTIES (Ref# 1563206)</t>
  </si>
  <si>
    <t>TIN/25120500060524/TAX (Ref# 1563205)</t>
  </si>
  <si>
    <t>GLOBAL ENTERPRISE (Ref# 1524713)</t>
  </si>
  <si>
    <t>CS/CHEPA/C VINOD KUMAR (Ref# 1563208)</t>
  </si>
  <si>
    <t>NEFT/Jagan Durai/TMBLH25340071935</t>
  </si>
  <si>
    <t>NEFT/ANAND T/TMBLH25340072021</t>
  </si>
  <si>
    <t>NEFT/GST/TMBLH25340073430 (Ref# 1563209)</t>
  </si>
  <si>
    <t>TR/CHEPA/M NAMASIVAYAM . (Ref# 1563207)</t>
  </si>
  <si>
    <t>CS/CHEPA/SELF (Ref# 1563227)</t>
  </si>
  <si>
    <t>RTGS/ACHARYA STEE/TMBLR52025120800282135 (Ref# 1563210)</t>
  </si>
  <si>
    <t>TR/CHEPA/AFFAN METALS (Ref# 1563211)</t>
  </si>
  <si>
    <t>eBank/Tr From VEERA PROPERTIES / trf</t>
  </si>
  <si>
    <t>RTGS/ACHARYA STEE/HDFCR52025121294337662</t>
  </si>
  <si>
    <t>NEFT/K.PANDURANGAN and VA/TMBLH25347916545</t>
  </si>
  <si>
    <t>INW CHQ RET CHRGS/1541790/15122025/008CTS</t>
  </si>
  <si>
    <t>RTGS/ACHARYA STEE/TMBLR52025121500087618 (Ref# 1563212)</t>
  </si>
  <si>
    <t>NEFT/SARALA B/TMBLH25350201169 (Ref# 1563213)</t>
  </si>
  <si>
    <t>eBank/Tr To RAJASEKARAN RAVICHANDRAN / Mr.Selvam C</t>
  </si>
  <si>
    <t>UPI/535201362329/S UTHIRIYA P NA/IOBA/loan return</t>
  </si>
  <si>
    <t>CS/CHEPA/SELF (Ref# 1563226)</t>
  </si>
  <si>
    <t>RTGS/BARATHKUMAR /BKIDR52025121800766320</t>
  </si>
  <si>
    <t>RTGS/BARATHKUMAR /BKIDR52025121800766340</t>
  </si>
  <si>
    <t>TR/CHEPA/VEERA PROPERTIES (Ref# 1563214)</t>
  </si>
  <si>
    <t>NEFT/GST/TMBLH25352478105 (Ref# 1563215)</t>
  </si>
  <si>
    <t>210ILCR260045:LC Charges</t>
  </si>
  <si>
    <t>CS/CHEPA/SELF (Ref# 1563225)</t>
  </si>
  <si>
    <t>TR/CHEPA/M NAMASIVAYAM (Ref# 1563216)</t>
  </si>
  <si>
    <t>NEFT/SURESH M/TMBLH25356872240 (Ref# 1563217)</t>
  </si>
  <si>
    <t>RTGS/ACHARYA STEE/HDFCR52025122398180190</t>
  </si>
  <si>
    <t>CS/CHEPA/SELF TO CASH (Ref# 1563224)</t>
  </si>
  <si>
    <t>eBank/Tr To RAJASEKARAN RAVICHANDRAN / trf</t>
  </si>
  <si>
    <t>RTGS/MEGHA STEELS/HSBCR22025123034054452</t>
  </si>
  <si>
    <t>TR/CHEPA/AFFAN METALS (Ref# 1563219)</t>
  </si>
  <si>
    <t>RTGS/ACHARYA STEE/TMBLR52025123000739507 (Ref# 1563218)</t>
  </si>
  <si>
    <t>CS/CHEPA/SELF (Ref# 1563223)</t>
  </si>
  <si>
    <t>INW CHQ RET CHRGS/1541791/31122025/016CTS</t>
  </si>
  <si>
    <t>210700050900123:Int.Coll:01-12-2025 to 31-12-2025</t>
  </si>
  <si>
    <t>210700050900123:Penal Charge Coll:31-12-2025 to 3</t>
  </si>
  <si>
    <t>GLOBAL ENTERPRISE (Ref# 1524714)</t>
  </si>
  <si>
    <t>RTGS/MEGHA STEELS/HSBCR22026010634171516</t>
  </si>
  <si>
    <t>RTGS/ACHARYA STEELS/TMBLR52026010600634009</t>
  </si>
  <si>
    <t>TIN/26010600336201/TAX (Ref# 1563220)</t>
  </si>
  <si>
    <t>RTGS/ACHARYA STEE/HDFCR52026010855003165</t>
  </si>
  <si>
    <t>eBank/Tr To RAJASEKARAN RAVICHANDRAN / Mr.Selvam</t>
  </si>
  <si>
    <t>NEFT/Jagan Durai/TMBLH26008001464</t>
  </si>
  <si>
    <t>NEFT/ANAND T/TMBLH26008001840</t>
  </si>
  <si>
    <t>TR/CHEPA/AFFAN METALS (Ref# 1563221)</t>
  </si>
  <si>
    <t>Bill Id:[210DBP2600020]:Interest Income A/c</t>
  </si>
  <si>
    <t>Bill Id:[210DBP2600020]:PURCHASE</t>
  </si>
  <si>
    <t>Bill Id:[210DBP2600021]:Interest Income A/c</t>
  </si>
  <si>
    <t>Bill Id:[210DBP2600021]:PURCHASE</t>
  </si>
  <si>
    <t>NEFT/AARUPADAI CORPORAT/TMBLH26009100229 (Ref# 1563231)</t>
  </si>
  <si>
    <t>NEFT/GST/TMBLH26009128371 (Ref# 1563222)</t>
  </si>
  <si>
    <t>TR/CHEPA/AUDITOR CERTIFICATE FOR BOOK DEPTS</t>
  </si>
  <si>
    <t>RTGS/ACHARYA STEE/HDFCR52026010955453548</t>
  </si>
  <si>
    <t>eBank/642259751/Selvam Home EB</t>
  </si>
  <si>
    <t>RTGS/MEGHA STEELS/HSBCR22026011234275628</t>
  </si>
  <si>
    <t>RTGS/ACHARYA STEELS/TMBLR52026011200381195</t>
  </si>
  <si>
    <t>TR/CHEPA/AFFAN METALS (Ref# 1563232)</t>
  </si>
  <si>
    <t>TR/CHEPA/M NAMASIVAYAM . (Ref# 1563233)</t>
  </si>
  <si>
    <t>TR/CHEPA/VEERA PROPERTIES (Ref# 1563235)</t>
  </si>
  <si>
    <t>RTGS/PUNITHA G/TMBLR52026011200401173 (Ref# 1563234)</t>
  </si>
  <si>
    <t>RTGS/ACHARYA STEE/TMBLR52026011200409503 (Ref# 1563236)</t>
  </si>
  <si>
    <t>NEFT/PANDURANGAN/TMBLH26012409561 (Ref# 1563237)</t>
  </si>
  <si>
    <t>NEFT/SUNDARA PRABHU S/TMBLH26012424743 (Ref# 1563238)</t>
  </si>
  <si>
    <t>NEFT/DAYANA SUNDARA GLA/TMBLH26012425783 (Ref# 1563239)</t>
  </si>
  <si>
    <t>TR/CHEPA/VEERA PROPERTIES (Ref# 1563241)</t>
  </si>
  <si>
    <t>TR/CHEPA/AFFAN METALS (Ref# 1563240)</t>
  </si>
  <si>
    <t>eBank/Tr To AFFAN METALS / Trf</t>
  </si>
  <si>
    <t>NEFT/PANKAJ ACHARYA/TMBLH26013611073</t>
  </si>
  <si>
    <t>RTGS/ACHARYA STEE/HDFCR52026011356910497</t>
  </si>
  <si>
    <t>RTGS/ACHARYA STEE/HDFCR52026011457059777</t>
  </si>
  <si>
    <t>RTGS/ADIMOOLAM N/TMBLR52026011400740467 (Ref# 1563242)</t>
  </si>
  <si>
    <t>eBank/Tr To RAJASEKARAN RAVICHANDRAN</t>
  </si>
  <si>
    <r>
      <rPr>
        <b/>
        <sz val="11"/>
        <color rgb="FFFF0000"/>
        <rFont val="Calibri"/>
        <family val="2"/>
        <scheme val="minor"/>
      </rPr>
      <t>VEERA INDUSTRIES 
TMB-0123-OD</t>
    </r>
    <r>
      <rPr>
        <b/>
        <sz val="11"/>
        <color theme="1"/>
        <rFont val="Calibri"/>
        <family val="2"/>
        <scheme val="minor"/>
      </rPr>
      <t xml:space="preserve">
PURCHASE</t>
    </r>
  </si>
  <si>
    <r>
      <rPr>
        <b/>
        <sz val="11"/>
        <color rgb="FFFF0000"/>
        <rFont val="Calibri"/>
        <family val="2"/>
        <scheme val="minor"/>
      </rPr>
      <t>VEERA INDUSTRIES 
TMB-0123-OD</t>
    </r>
    <r>
      <rPr>
        <b/>
        <sz val="11"/>
        <color theme="1"/>
        <rFont val="Calibri"/>
        <family val="2"/>
        <scheme val="minor"/>
      </rPr>
      <t xml:space="preserve">
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</si>
</sst>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###,##0.00"/>
    <numFmt numFmtId="165" formatCode="dd\-mmm\-yy"/>
    <numFmt numFmtId="166" formatCode="mmm\-yy;@"/>
    <numFmt numFmtId="167" formatCode="d/mmm/yy"/>
  </numFmts>
  <fonts count="2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1"/>
      <color rgb="FF92D05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CC"/>
      <name val="Calibri"/>
      <family val="2"/>
      <scheme val="minor"/>
    </font>
    <font>
      <sz val="10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C99"/>
        <bgColor rgb="FFFFC7CE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99CCFF"/>
      </patternFill>
    </fill>
    <fill>
      <patternFill patternType="solid">
        <fgColor rgb="FFFF99CC"/>
        <bgColor rgb="FFF4B183"/>
      </patternFill>
    </fill>
    <fill>
      <patternFill patternType="solid">
        <fgColor rgb="FFFFCC99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20">
    <xf numFmtId="0" fontId="0" fillId="0" borderId="0" xfId="0"/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166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right" vertical="center"/>
    </xf>
    <xf numFmtId="40" fontId="6" fillId="5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vertical="center" wrapText="1"/>
    </xf>
    <xf numFmtId="10" fontId="6" fillId="5" borderId="2" xfId="0" applyNumberFormat="1" applyFont="1" applyFill="1" applyBorder="1" applyAlignment="1">
      <alignment horizontal="right" vertical="center"/>
    </xf>
    <xf numFmtId="0" fontId="1" fillId="8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8" fillId="0" borderId="2" xfId="0" applyNumberFormat="1" applyFont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7" fillId="20" borderId="3" xfId="0" applyFont="1" applyFill="1" applyBorder="1"/>
    <xf numFmtId="0" fontId="17" fillId="20" borderId="4" xfId="0" applyFont="1" applyFill="1" applyBorder="1"/>
    <xf numFmtId="0" fontId="17" fillId="20" borderId="5" xfId="0" applyFont="1" applyFill="1" applyBorder="1"/>
    <xf numFmtId="14" fontId="0" fillId="19" borderId="2" xfId="0" applyNumberFormat="1" applyFill="1" applyBorder="1"/>
    <xf numFmtId="0" fontId="0" fillId="19" borderId="2" xfId="0" applyFill="1" applyBorder="1"/>
    <xf numFmtId="14" fontId="0" fillId="19" borderId="2" xfId="0" applyNumberFormat="1" applyFont="1" applyFill="1" applyBorder="1"/>
    <xf numFmtId="0" fontId="0" fillId="19" borderId="2" xfId="0" applyFont="1" applyFill="1" applyBorder="1"/>
    <xf numFmtId="0" fontId="0" fillId="21" borderId="2" xfId="0" applyFill="1" applyBorder="1"/>
    <xf numFmtId="14" fontId="0" fillId="19" borderId="6" xfId="0" applyNumberFormat="1" applyFill="1" applyBorder="1"/>
    <xf numFmtId="0" fontId="0" fillId="19" borderId="6" xfId="0" applyFill="1" applyBorder="1"/>
    <xf numFmtId="0" fontId="13" fillId="19" borderId="2" xfId="0" applyFont="1" applyFill="1" applyBorder="1"/>
    <xf numFmtId="14" fontId="17" fillId="19" borderId="2" xfId="0" applyNumberFormat="1" applyFont="1" applyFill="1" applyBorder="1"/>
    <xf numFmtId="0" fontId="17" fillId="19" borderId="2" xfId="0" applyFont="1" applyFill="1" applyBorder="1"/>
    <xf numFmtId="0" fontId="17" fillId="21" borderId="2" xfId="0" applyFont="1" applyFill="1" applyBorder="1"/>
    <xf numFmtId="14" fontId="0" fillId="19" borderId="7" xfId="0" applyNumberFormat="1" applyFill="1" applyBorder="1"/>
    <xf numFmtId="0" fontId="0" fillId="19" borderId="7" xfId="0" applyFill="1" applyBorder="1"/>
    <xf numFmtId="0" fontId="13" fillId="19" borderId="7" xfId="0" applyFont="1" applyFill="1" applyBorder="1"/>
    <xf numFmtId="0" fontId="18" fillId="0" borderId="2" xfId="0" applyFont="1" applyBorder="1"/>
    <xf numFmtId="0" fontId="18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8" fillId="0" borderId="2" xfId="0" applyFont="1" applyBorder="1" applyAlignment="1">
      <alignment horizontal="left"/>
    </xf>
    <xf numFmtId="43" fontId="18" fillId="0" borderId="2" xfId="1" applyFont="1" applyBorder="1" applyAlignment="1">
      <alignment horizontal="right"/>
    </xf>
    <xf numFmtId="43" fontId="13" fillId="0" borderId="2" xfId="1" applyFont="1" applyBorder="1" applyAlignment="1">
      <alignment horizontal="right"/>
    </xf>
    <xf numFmtId="43" fontId="13" fillId="0" borderId="2" xfId="1" applyFont="1" applyBorder="1"/>
    <xf numFmtId="0" fontId="20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 wrapText="1"/>
    </xf>
    <xf numFmtId="0" fontId="20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43" fontId="2" fillId="0" borderId="1" xfId="1" applyFont="1" applyBorder="1" applyAlignment="1">
      <alignment vertical="center"/>
    </xf>
    <xf numFmtId="43" fontId="11" fillId="0" borderId="2" xfId="0" applyNumberFormat="1" applyFont="1" applyBorder="1"/>
    <xf numFmtId="43" fontId="11" fillId="0" borderId="2" xfId="0" pivotButton="1" applyNumberFormat="1" applyFont="1" applyBorder="1"/>
    <xf numFmtId="43" fontId="11" fillId="9" borderId="2" xfId="0" applyNumberFormat="1" applyFont="1" applyFill="1" applyBorder="1"/>
    <xf numFmtId="43" fontId="12" fillId="0" borderId="2" xfId="0" applyNumberFormat="1" applyFont="1" applyBorder="1"/>
    <xf numFmtId="43" fontId="11" fillId="10" borderId="2" xfId="0" applyNumberFormat="1" applyFont="1" applyFill="1" applyBorder="1"/>
    <xf numFmtId="43" fontId="11" fillId="11" borderId="2" xfId="0" applyNumberFormat="1" applyFont="1" applyFill="1" applyBorder="1"/>
    <xf numFmtId="43" fontId="11" fillId="12" borderId="2" xfId="0" applyNumberFormat="1" applyFont="1" applyFill="1" applyBorder="1"/>
    <xf numFmtId="43" fontId="11" fillId="13" borderId="2" xfId="0" applyNumberFormat="1" applyFont="1" applyFill="1" applyBorder="1"/>
    <xf numFmtId="43" fontId="11" fillId="14" borderId="2" xfId="0" applyNumberFormat="1" applyFont="1" applyFill="1" applyBorder="1"/>
    <xf numFmtId="43" fontId="11" fillId="15" borderId="2" xfId="0" applyNumberFormat="1" applyFont="1" applyFill="1" applyBorder="1"/>
    <xf numFmtId="43" fontId="11" fillId="17" borderId="2" xfId="0" applyNumberFormat="1" applyFont="1" applyFill="1" applyBorder="1"/>
    <xf numFmtId="43" fontId="11" fillId="16" borderId="2" xfId="0" applyNumberFormat="1" applyFont="1" applyFill="1" applyBorder="1"/>
    <xf numFmtId="43" fontId="11" fillId="19" borderId="2" xfId="0" applyNumberFormat="1" applyFont="1" applyFill="1" applyBorder="1"/>
    <xf numFmtId="43" fontId="11" fillId="18" borderId="2" xfId="0" applyNumberFormat="1" applyFont="1" applyFill="1" applyBorder="1"/>
    <xf numFmtId="43" fontId="11" fillId="0" borderId="2" xfId="0" applyNumberFormat="1" applyFont="1" applyFill="1" applyBorder="1"/>
    <xf numFmtId="14" fontId="0" fillId="19" borderId="18" xfId="0" applyNumberFormat="1" applyFill="1" applyBorder="1"/>
    <xf numFmtId="0" fontId="0" fillId="19" borderId="18" xfId="0" applyFill="1" applyBorder="1"/>
    <xf numFmtId="0" fontId="14" fillId="4" borderId="2" xfId="0" applyFont="1" applyFill="1" applyBorder="1" applyAlignment="1">
      <alignment horizontal="left" vertical="center"/>
    </xf>
    <xf numFmtId="0" fontId="0" fillId="4" borderId="2" xfId="0" applyFill="1" applyBorder="1"/>
    <xf numFmtId="0" fontId="5" fillId="4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left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43" fontId="13" fillId="0" borderId="14" xfId="1" applyFont="1" applyBorder="1" applyAlignment="1">
      <alignment horizontal="center" vertical="center" wrapText="1"/>
    </xf>
    <xf numFmtId="43" fontId="13" fillId="0" borderId="15" xfId="1" applyFont="1" applyBorder="1" applyAlignment="1">
      <alignment horizontal="center" vertical="center" wrapText="1"/>
    </xf>
    <xf numFmtId="0" fontId="6" fillId="7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/>
    </xf>
    <xf numFmtId="167" fontId="6" fillId="0" borderId="2" xfId="0" applyNumberFormat="1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4" fontId="13" fillId="19" borderId="2" xfId="0" applyNumberFormat="1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0" fillId="22" borderId="2" xfId="0" applyFill="1" applyBorder="1"/>
    <xf numFmtId="14" fontId="18" fillId="19" borderId="2" xfId="0" applyNumberFormat="1" applyFont="1" applyFill="1" applyBorder="1"/>
    <xf numFmtId="0" fontId="18" fillId="19" borderId="2" xfId="0" applyFont="1" applyFill="1" applyBorder="1"/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43" fontId="11" fillId="23" borderId="2" xfId="0" applyNumberFormat="1" applyFont="1" applyFill="1" applyBorder="1"/>
    <xf numFmtId="43" fontId="11" fillId="22" borderId="2" xfId="0" applyNumberFormat="1" applyFont="1" applyFill="1" applyBorder="1"/>
    <xf numFmtId="43" fontId="11" fillId="24" borderId="2" xfId="0" applyNumberFormat="1" applyFont="1" applyFill="1" applyBorder="1"/>
    <xf numFmtId="43" fontId="11" fillId="25" borderId="2" xfId="0" applyNumberFormat="1" applyFont="1" applyFill="1" applyBorder="1"/>
    <xf numFmtId="43" fontId="11" fillId="26" borderId="2" xfId="0" applyNumberFormat="1" applyFont="1" applyFill="1" applyBorder="1"/>
    <xf numFmtId="43" fontId="11" fillId="27" borderId="2" xfId="0" applyNumberFormat="1" applyFont="1" applyFill="1" applyBorder="1"/>
    <xf numFmtId="43" fontId="11" fillId="28" borderId="2" xfId="0" applyNumberFormat="1" applyFont="1" applyFill="1" applyBorder="1"/>
    <xf numFmtId="43" fontId="11" fillId="29" borderId="2" xfId="0" applyNumberFormat="1" applyFont="1" applyFill="1" applyBorder="1"/>
    <xf numFmtId="164" fontId="2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26"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9"/>
      </font>
    </dxf>
    <dxf>
      <font>
        <color rgb="FFFF0000"/>
      </font>
    </dxf>
    <dxf>
      <fill>
        <patternFill patternType="solid">
          <bgColor theme="6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FFCCCC"/>
        </patternFill>
      </fill>
    </dxf>
    <dxf>
      <fill>
        <patternFill>
          <bgColor theme="0"/>
        </patternFill>
      </fill>
    </dxf>
    <dxf>
      <fill>
        <patternFill>
          <bgColor theme="5" tint="0.39997558519241921"/>
        </patternFill>
      </fill>
    </dxf>
    <dxf>
      <fill>
        <patternFill>
          <bgColor theme="0"/>
        </patternFill>
      </fill>
    </dxf>
    <dxf>
      <numFmt numFmtId="35" formatCode="_ * #,##0.00_ ;_ * \-#,##0.00_ ;_ * &quot;-&quot;??_ ;_ @_ 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FFC000"/>
        </patternFill>
      </fill>
    </dxf>
    <dxf>
      <numFmt numFmtId="35" formatCode="_ * #,##0.00_ ;_ * \-#,##0.00_ ;_ * &quot;-&quot;??_ ;_ @_ 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sz val="9"/>
      </font>
    </dxf>
    <dxf>
      <font>
        <sz val="10"/>
      </font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WORKING/VEERA%20INDUSTRIES-AKHIL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ooja Sri C" refreshedDate="46058.699339930557" createdVersion="6" refreshedVersion="6" minRefreshableVersion="3" recordCount="717">
  <cacheSource type="worksheet">
    <worksheetSource ref="B1:I1048576" sheet="XNS-TMB-5048-CA"/>
  </cacheSource>
  <cacheFields count="8">
    <cacheField name="Date" numFmtId="0">
      <sharedItems containsNonDate="0" containsDate="1" containsString="0" containsBlank="1" minDate="2025-08-01T00:00:00" maxDate="2026-01-20T00:00:00"/>
    </cacheField>
    <cacheField name="MONTH" numFmtId="0">
      <sharedItems containsBlank="1" count="8">
        <s v="AUG"/>
        <s v="SEP"/>
        <s v="OCT"/>
        <s v="NOV"/>
        <s v="DEC"/>
        <s v="JAN(26)"/>
        <m/>
        <s v="JAN" u="1"/>
      </sharedItems>
    </cacheField>
    <cacheField name="TYPE" numFmtId="0">
      <sharedItems containsBlank="1" count="14">
        <s v="SALES"/>
        <s v="SIS CON"/>
        <s v="PURCHASE"/>
        <s v="PVT FIN"/>
        <s v="ODD FIG"/>
        <s v="EXPENSES"/>
        <s v="CASH"/>
        <s v="BANK FIN"/>
        <s v="RETURN"/>
        <s v="Insurance"/>
        <s v="DOUBT"/>
        <m/>
        <s v="NAMES" u="1"/>
        <s v="MULTIPLE INB TRF" u="1"/>
      </sharedItems>
    </cacheField>
    <cacheField name="Cheque_No" numFmtId="0">
      <sharedItems containsBlank="1" containsMixedTypes="1" containsNumber="1" containsInteger="1" minValue="1544060" maxValue="1568832"/>
    </cacheField>
    <cacheField name="Category" numFmtId="0">
      <sharedItems containsBlank="1" count="74">
        <s v="METAL AND SC"/>
        <s v="VEERA INDUSTRIES-TMB-0123-OD"/>
        <s v="MTC BUSINESS"/>
        <s v="SAMVARDHANA MOTHER"/>
        <s v="ILAKKIA"/>
        <s v="SURESH BABU D"/>
        <s v="K S S ENTERPRISES"/>
        <s v="SRINIVAS K R "/>
        <s v="RAMAJAYAM"/>
        <s v="SARAVANAN M"/>
        <s v="KANNAN"/>
        <s v="PANDURANGAN"/>
        <s v="VINOD KUMAR"/>
        <s v="COMPANY NAME"/>
        <s v="PREETHI G "/>
        <s v="SMS AND ASSEMBLIES"/>
        <s v="DHANUPRAKASH"/>
        <s v="VENKATESAN"/>
        <s v="VELMURUHAN"/>
        <s v="PUSHPANATAHAN"/>
        <s v="Tax"/>
        <s v="GOPINATH P T "/>
        <s v="BADRINATH"/>
        <s v="NATARAJAN M "/>
        <s v="CASH WITHDRAWAL"/>
        <s v="Loan -0057"/>
        <s v="SRI SAI ENTERPRISE"/>
        <s v="SRI SUN ENTE"/>
        <s v="TAMILSELVAN G"/>
        <s v="AROKIYA TRADERS"/>
        <s v="DHANALAKSHMI RAJKA"/>
        <s v="RAJKANTH JAYARAM"/>
        <s v="ARUL A "/>
        <s v="SRI AMBAL TRADE"/>
        <s v="Loan -0063"/>
        <s v="LATHA"/>
        <s v="UTHIRIYA PRADEE"/>
        <s v="XAVIERDAS.A"/>
        <s v="S S S TRADER"/>
        <s v="JOTHI LAKSHMI.E"/>
        <s v="Bank Charges"/>
        <s v="VIKNESH KARM"/>
        <s v="INFANT RAJ R"/>
        <s v="ANANDH S"/>
        <s v="MURUGANANTHA"/>
        <s v="DHARMARAJ"/>
        <s v="SRI PACHAIYAMMAN B"/>
        <s v="M S A ENTERP"/>
        <s v="VIHAAN"/>
        <s v="I/W RTGS RTN -(NOT REP)"/>
        <s v="PRIYADHARSHINI SUR"/>
        <s v="Insurance"/>
        <s v="SIVARAJANI CHENGUT"/>
        <s v="NAVANEETHAN RAJKAN"/>
        <s v="CASH DEPOSIT"/>
        <s v="PANKAJ ACHARYA"/>
        <s v="SARALA B"/>
        <s v="VICTORY SCALES"/>
        <s v="Gold Loan Disbursed -2301"/>
        <s v="Loan -1923"/>
        <s v="Gold Loan Disbursed -0227"/>
        <s v="ITDTAX REFUND"/>
        <s v="Loan -2301"/>
        <s v="Gold Loan Disbursed -0320"/>
        <s v="Gold Loan Disbursed -0323"/>
        <s v="BUILDING APPROVAL"/>
        <s v="MARIYA CHRISTY RATHIKA"/>
        <m/>
        <s v="I/W RTGS RTN" u="1"/>
        <s v="K S S ENRTERPRISES" u="1"/>
        <s v="AROKIA TRADE" u="1"/>
        <s v="DEVARAJU RAJAMAIKKAM" u="1"/>
        <s v="SURESH M" u="1"/>
        <s v="ARUL A" u="1"/>
      </sharedItems>
    </cacheField>
    <cacheField name="Description" numFmtId="0">
      <sharedItems containsBlank="1"/>
    </cacheField>
    <cacheField name="DR" numFmtId="0">
      <sharedItems containsString="0" containsBlank="1" containsNumber="1" minValue="0" maxValue="39.447830000000003"/>
    </cacheField>
    <cacheField name="CR" numFmtId="0">
      <sharedItems containsString="0" containsBlank="1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khila M" refreshedDate="46058.674129629631" createdVersion="6" refreshedVersion="6" minRefreshableVersion="3" recordCount="377">
  <cacheSource type="worksheet">
    <worksheetSource ref="B1:I1048576" sheet="XNS-TMB-0123-OD" r:id="rId2"/>
  </cacheSource>
  <cacheFields count="8">
    <cacheField name="Date" numFmtId="0">
      <sharedItems containsNonDate="0" containsDate="1" containsString="0" containsBlank="1" minDate="2025-08-01T00:00:00" maxDate="2026-01-20T00:00:00"/>
    </cacheField>
    <cacheField name="MONTH" numFmtId="0">
      <sharedItems containsBlank="1" count="7">
        <s v="AUG"/>
        <s v="SEP"/>
        <s v="OCT"/>
        <s v="NOV"/>
        <s v="DEC"/>
        <s v="JAN"/>
        <m/>
      </sharedItems>
    </cacheField>
    <cacheField name="TYPE" numFmtId="0">
      <sharedItems containsBlank="1" count="13">
        <s v="SIS CON"/>
        <s v="DOUBT"/>
        <s v="EXPENSE"/>
        <s v="PURCHASE"/>
        <s v="SALES"/>
        <s v="UNMATCH _x000a_SIS CON"/>
        <s v="CASH"/>
        <s v="RETURN"/>
        <s v="PVT FIN"/>
        <s v="BANK FIN"/>
        <s v="Insurance"/>
        <m/>
        <s v="NAMES" u="1"/>
      </sharedItems>
    </cacheField>
    <cacheField name="Cheque_No" numFmtId="0">
      <sharedItems containsNonDate="0" containsString="0" containsBlank="1"/>
    </cacheField>
    <cacheField name="Category" numFmtId="0">
      <sharedItems containsBlank="1" count="57">
        <s v="AFFAN METALS-TMB-5048-CA"/>
        <s v="Bill Id"/>
        <s v="Bank Charges"/>
        <s v="THE KCP LTD"/>
        <s v="ACHARYA STEE"/>
        <s v="MOHANDOSS PARAMASI"/>
        <s v="RAM NARAYAN"/>
        <s v="VEERA PROPERTIES"/>
        <s v="D J ARCHITECTS"/>
        <s v="VENUS INFRA"/>
        <s v="JAGAN DURAI"/>
        <s v="Salary Paid"/>
        <s v="ANAND THAINESH"/>
        <s v="COMPANY NAME"/>
        <s v="JUBILENT MOTORWORK"/>
        <s v="EB BILL"/>
        <s v="Tax"/>
        <s v="S B METALS"/>
        <s v="CASH WITHDRAWAL"/>
        <s v="RAJASEKARAN RAVICHANDRAN"/>
        <s v="PANDURANGAN"/>
        <s v="S M STEEL AL"/>
        <s v="I/W CHQ RTN CHG"/>
        <s v="ROYAL AGENCY"/>
        <s v="CROWN TRADER"/>
        <s v="ADIMOOLAM N"/>
        <s v="GUNA S"/>
        <s v="NAMASIVAYAM M"/>
        <s v="PUNITHA G"/>
        <s v="SRI AMBAL TRADE"/>
        <s v="SELVAM V"/>
        <s v="Interest Charges"/>
        <s v="TIN"/>
        <s v="STAR INDUSTRI"/>
        <s v="S S S TRADER"/>
        <s v="AROKIYA TRAD"/>
        <s v="OM ENTERPRIS"/>
        <s v="PANKAJ ACHARYA"/>
        <s v="Insurance"/>
        <s v="SRI PACHAIYAMMAN B"/>
        <s v="S R RATHINAM"/>
        <s v="Penal Charges"/>
        <s v="eBank"/>
        <s v="BARRANQUESA INDIA"/>
        <s v="CASH DEPOSIT"/>
        <s v="K S S ENTERPRISES"/>
        <s v="GLOBAL ENTERPRISE"/>
        <s v="K PANDURANGAN AND VA"/>
        <s v="Utilities"/>
        <s v="MEGHA STEELS"/>
        <s v="VINOD KUMAR C"/>
        <s v="BARATHKUMAR"/>
        <s v="AARUPADAI CORPORAT"/>
        <s v="SUNDARA PRABHU S"/>
        <s v="DAYANA SUNDARA GLA"/>
        <m/>
        <s v="GLOBAL ENTER" u="1"/>
      </sharedItems>
    </cacheField>
    <cacheField name="Description" numFmtId="0">
      <sharedItems containsBlank="1"/>
    </cacheField>
    <cacheField name="DR" numFmtId="0">
      <sharedItems containsString="0" containsBlank="1" containsNumber="1" minValue="0" maxValue="85"/>
    </cacheField>
    <cacheField name="CR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7">
  <r>
    <d v="2025-08-01T00:00:00"/>
    <x v="0"/>
    <x v="0"/>
    <m/>
    <x v="0"/>
    <s v="RTGS/METAL AND SC/HDFCR52025080196730628"/>
    <n v="0"/>
    <n v="2.5"/>
  </r>
  <r>
    <d v="2025-08-01T00:00:00"/>
    <x v="0"/>
    <x v="1"/>
    <m/>
    <x v="1"/>
    <s v="TR/CHEPA/VEERAVINDUSTRIES (Ref# 1544058)"/>
    <n v="2.95"/>
    <n v="0"/>
  </r>
  <r>
    <d v="2025-08-01T00:00:00"/>
    <x v="0"/>
    <x v="0"/>
    <m/>
    <x v="2"/>
    <s v="RTGS/MTC BUSINESS/HDFCR52025080196836729"/>
    <n v="0"/>
    <n v="9.0455799999999993"/>
  </r>
  <r>
    <d v="2025-08-01T00:00:00"/>
    <x v="0"/>
    <x v="1"/>
    <m/>
    <x v="1"/>
    <s v="TR/CHEPA/VEERA INDUSTRIES"/>
    <n v="0"/>
    <n v="18"/>
  </r>
  <r>
    <d v="2025-08-01T00:00:00"/>
    <x v="0"/>
    <x v="2"/>
    <m/>
    <x v="3"/>
    <s v="RTGS/SAMVARDHANA /TMBLR52025080100480511 (Ref# 1544059)"/>
    <n v="26"/>
    <n v="0"/>
  </r>
  <r>
    <d v="2025-08-02T00:00:00"/>
    <x v="0"/>
    <x v="0"/>
    <m/>
    <x v="0"/>
    <s v="NEFT/METAL AND SCRAP TR/HDFCH00398392264"/>
    <n v="0"/>
    <n v="0.20463999999999999"/>
  </r>
  <r>
    <d v="2025-08-02T00:00:00"/>
    <x v="0"/>
    <x v="1"/>
    <m/>
    <x v="1"/>
    <s v="TR/CHEPA/VEERA INDUSTRIES"/>
    <n v="0"/>
    <n v="0.1"/>
  </r>
  <r>
    <d v="2025-08-02T00:00:00"/>
    <x v="0"/>
    <x v="3"/>
    <n v="1544060"/>
    <x v="4"/>
    <s v="TR/CHEPA/ILAKKIA (Ref# 1544060)"/>
    <n v="1.1299999999999999"/>
    <n v="0"/>
  </r>
  <r>
    <d v="2025-08-04T00:00:00"/>
    <x v="0"/>
    <x v="1"/>
    <m/>
    <x v="1"/>
    <s v="TR/CHEPA/VEERA INDUSTRIES"/>
    <n v="0"/>
    <n v="42"/>
  </r>
  <r>
    <d v="2025-08-04T00:00:00"/>
    <x v="0"/>
    <x v="2"/>
    <m/>
    <x v="3"/>
    <s v="RTGS/SAMVARDHANA /TMBLR52025080400763940 (Ref# 1544061)"/>
    <n v="39.447830000000003"/>
    <n v="0"/>
  </r>
  <r>
    <d v="2025-08-04T00:00:00"/>
    <x v="0"/>
    <x v="2"/>
    <m/>
    <x v="5"/>
    <s v="NEFT/SURESH BABU D/TMBLH25216790013 (Ref# 1544062)"/>
    <n v="1.5"/>
    <n v="0"/>
  </r>
  <r>
    <d v="2025-08-04T00:00:00"/>
    <x v="0"/>
    <x v="1"/>
    <m/>
    <x v="1"/>
    <s v="eBank/Tr From VEERA INDUSTRIES / TRANSFER TO AFFAN"/>
    <n v="0"/>
    <n v="15"/>
  </r>
  <r>
    <d v="2025-08-04T00:00:00"/>
    <x v="0"/>
    <x v="2"/>
    <m/>
    <x v="6"/>
    <s v="eBank/Tr To K S S ENTERPRISES / TRANSFER TO KSS"/>
    <n v="7.74"/>
    <n v="0"/>
  </r>
  <r>
    <d v="2025-08-05T00:00:00"/>
    <x v="0"/>
    <x v="4"/>
    <m/>
    <x v="7"/>
    <s v="IMPS/K R SRINIVASAN/521709099587/ICIC/testac"/>
    <n v="0"/>
    <n v="1.0000000000000001E-5"/>
  </r>
  <r>
    <d v="2025-08-05T00:00:00"/>
    <x v="0"/>
    <x v="0"/>
    <m/>
    <x v="0"/>
    <s v="RTGS/METAL AND SC/HDFCR52025080597844065"/>
    <n v="0"/>
    <n v="6.5"/>
  </r>
  <r>
    <d v="2025-08-05T00:00:00"/>
    <x v="0"/>
    <x v="2"/>
    <m/>
    <x v="8"/>
    <s v="RTGS/RAMAJAYAM/TMBLR52025080500909634"/>
    <n v="2.3712599999999999"/>
    <n v="0"/>
  </r>
  <r>
    <d v="2025-08-05T00:00:00"/>
    <x v="0"/>
    <x v="2"/>
    <m/>
    <x v="9"/>
    <s v="NEFT/SARAVANAN M/TMBLH25217909770"/>
    <n v="0.94232000000000005"/>
    <n v="0"/>
  </r>
  <r>
    <d v="2025-08-05T00:00:00"/>
    <x v="0"/>
    <x v="2"/>
    <m/>
    <x v="10"/>
    <s v="NEFT/KANNAN/TMBLH25217912535"/>
    <n v="0.83308000000000004"/>
    <n v="0"/>
  </r>
  <r>
    <d v="2025-08-05T00:00:00"/>
    <x v="0"/>
    <x v="2"/>
    <m/>
    <x v="11"/>
    <s v="NEFT/PANDURANGAN/TMBLH25217912752"/>
    <n v="1.2325200000000001"/>
    <n v="0"/>
  </r>
  <r>
    <d v="2025-08-05T00:00:00"/>
    <x v="0"/>
    <x v="2"/>
    <m/>
    <x v="12"/>
    <s v="NEFT/vinod kumar/TMBLH25217912843"/>
    <n v="0.66"/>
    <n v="0"/>
  </r>
  <r>
    <d v="2025-08-05T00:00:00"/>
    <x v="0"/>
    <x v="4"/>
    <m/>
    <x v="7"/>
    <s v="RTGS/K R SRINIVAS/ICICR42025080500527147"/>
    <n v="0"/>
    <n v="25"/>
  </r>
  <r>
    <d v="2025-08-05T00:00:00"/>
    <x v="0"/>
    <x v="2"/>
    <m/>
    <x v="13"/>
    <s v="TR/CHEPA/DEVARAJU RAJAMAIKKAM (Ref# 1544064)"/>
    <n v="0.2"/>
    <n v="0"/>
  </r>
  <r>
    <d v="2025-08-05T00:00:00"/>
    <x v="0"/>
    <x v="3"/>
    <n v="1544063"/>
    <x v="14"/>
    <s v="NEFT/G PREETHI/TMBLH25217926757 (Ref# 1544063)"/>
    <n v="1"/>
    <n v="0"/>
  </r>
  <r>
    <d v="2025-08-05T00:00:00"/>
    <x v="0"/>
    <x v="2"/>
    <m/>
    <x v="15"/>
    <s v="RTGS/SMS And Assemblies/TMBLR52025080500926949"/>
    <n v="14"/>
    <n v="0"/>
  </r>
  <r>
    <d v="2025-08-05T00:00:00"/>
    <x v="0"/>
    <x v="2"/>
    <m/>
    <x v="13"/>
    <s v="eBank/613285161/MR.XAVIER HOME EB"/>
    <n v="0.19139540000000002"/>
    <n v="0"/>
  </r>
  <r>
    <d v="2025-08-05T00:00:00"/>
    <x v="0"/>
    <x v="1"/>
    <m/>
    <x v="1"/>
    <s v="TR/CHEPA/VEERA INDUSTRIES (Ref# 1544071)"/>
    <n v="18"/>
    <n v="0"/>
  </r>
  <r>
    <d v="2025-08-06T00:00:00"/>
    <x v="0"/>
    <x v="0"/>
    <m/>
    <x v="0"/>
    <s v="RTGS/METAL AND SC/HDFCR52025080698347462"/>
    <n v="0"/>
    <n v="5"/>
  </r>
  <r>
    <d v="2025-08-06T00:00:00"/>
    <x v="0"/>
    <x v="0"/>
    <m/>
    <x v="16"/>
    <s v="IMPS/DHANUPRAKASH/521813310106/HDFC/Payment"/>
    <n v="0"/>
    <n v="0.01"/>
  </r>
  <r>
    <d v="2025-08-06T00:00:00"/>
    <x v="0"/>
    <x v="0"/>
    <m/>
    <x v="2"/>
    <s v="RTGS/MTC BUSINESS/HDFCR52025080698318817"/>
    <n v="0"/>
    <n v="13.80475"/>
  </r>
  <r>
    <d v="2025-08-06T00:00:00"/>
    <x v="0"/>
    <x v="4"/>
    <m/>
    <x v="17"/>
    <s v="RTGS/VENKATESAN/CBINR52025080610009959"/>
    <n v="0"/>
    <n v="10"/>
  </r>
  <r>
    <d v="2025-08-06T00:00:00"/>
    <x v="0"/>
    <x v="4"/>
    <m/>
    <x v="18"/>
    <s v="RTGS/VELMURUHAN/SBINR52025080694604171"/>
    <n v="0"/>
    <n v="10"/>
  </r>
  <r>
    <d v="2025-08-06T00:00:00"/>
    <x v="0"/>
    <x v="2"/>
    <m/>
    <x v="3"/>
    <s v="RTGS/SAMVARDHANA /TMBLR52025080600104246 (Ref# 1544072)"/>
    <n v="15"/>
    <n v="0"/>
  </r>
  <r>
    <d v="2025-08-06T00:00:00"/>
    <x v="0"/>
    <x v="0"/>
    <m/>
    <x v="16"/>
    <s v="NEFT/DHANUPRAKASH/HDFCH00407581852"/>
    <n v="0"/>
    <n v="4.99"/>
  </r>
  <r>
    <d v="2025-08-06T00:00:00"/>
    <x v="0"/>
    <x v="0"/>
    <m/>
    <x v="19"/>
    <s v="NEFT/PUSHPANATAHAN/SBIN425218954034"/>
    <n v="0"/>
    <n v="7.5"/>
  </r>
  <r>
    <d v="2025-08-06T00:00:00"/>
    <x v="0"/>
    <x v="1"/>
    <m/>
    <x v="1"/>
    <s v="eBank/Tr To VEERA INDUSTRIES / TRANSFER TO VEERA"/>
    <n v="25"/>
    <n v="0"/>
  </r>
  <r>
    <d v="2025-08-06T00:00:00"/>
    <x v="0"/>
    <x v="5"/>
    <m/>
    <x v="20"/>
    <s v="eBank/CBDT/25080600651839"/>
    <n v="3.9412500000000001"/>
    <n v="0"/>
  </r>
  <r>
    <d v="2025-08-06T00:00:00"/>
    <x v="0"/>
    <x v="1"/>
    <m/>
    <x v="1"/>
    <s v="eBank/Tr To VEERA INDUSTRIES / TRANSFER TO VEERA"/>
    <n v="3"/>
    <n v="0"/>
  </r>
  <r>
    <d v="2025-08-07T00:00:00"/>
    <x v="0"/>
    <x v="0"/>
    <m/>
    <x v="0"/>
    <s v="RTGS/METAL AND SC/HDFCR52025080798643258"/>
    <n v="0"/>
    <n v="3"/>
  </r>
  <r>
    <d v="2025-08-07T00:00:00"/>
    <x v="0"/>
    <x v="0"/>
    <m/>
    <x v="2"/>
    <s v="RTGS/MTC BUSINESS/HDFCR52025080798727334"/>
    <n v="0"/>
    <n v="8.2074200000000008"/>
  </r>
  <r>
    <d v="2025-08-07T00:00:00"/>
    <x v="0"/>
    <x v="0"/>
    <m/>
    <x v="21"/>
    <s v="RTGS/P T GOPINATH/SBINR52025080794724463"/>
    <n v="0"/>
    <n v="5"/>
  </r>
  <r>
    <d v="2025-08-07T00:00:00"/>
    <x v="0"/>
    <x v="2"/>
    <m/>
    <x v="22"/>
    <s v="NEFT/BADRINATH/TMBLH25219236399 (Ref# 1544074)"/>
    <n v="0.5"/>
    <n v="0"/>
  </r>
  <r>
    <d v="2025-08-07T00:00:00"/>
    <x v="0"/>
    <x v="1"/>
    <m/>
    <x v="1"/>
    <s v="TR/CHEPA/VEERA INDUSTRIES (Ref# 1544076)"/>
    <n v="4"/>
    <n v="0"/>
  </r>
  <r>
    <d v="2025-08-07T00:00:00"/>
    <x v="0"/>
    <x v="2"/>
    <m/>
    <x v="6"/>
    <s v="TR/CHEPA/K S S ENTERPRISES (Ref# 1544077)"/>
    <n v="0.57999999999999996"/>
    <n v="0"/>
  </r>
  <r>
    <d v="2025-08-07T00:00:00"/>
    <x v="0"/>
    <x v="2"/>
    <m/>
    <x v="3"/>
    <s v="RTGS/SAMVARDHANA /TMBLR52025080700257230 (Ref# 1544075)"/>
    <n v="11"/>
    <n v="0"/>
  </r>
  <r>
    <d v="2025-08-07T00:00:00"/>
    <x v="0"/>
    <x v="2"/>
    <m/>
    <x v="12"/>
    <s v="eBank/Tr To XAVIERDAS.A / TRANSFER TO MR.XAVIE"/>
    <n v="1"/>
    <n v="0"/>
  </r>
  <r>
    <d v="2025-08-08T00:00:00"/>
    <x v="0"/>
    <x v="4"/>
    <m/>
    <x v="23"/>
    <s v="RTGS/M NATARAJAN/UTIBR52025080800352262"/>
    <n v="0"/>
    <n v="10"/>
  </r>
  <r>
    <d v="2025-08-08T00:00:00"/>
    <x v="0"/>
    <x v="5"/>
    <m/>
    <x v="20"/>
    <s v="RTGS/GST/TMBLR52025080800359215 (Ref# 1544078)"/>
    <n v="2.0377200000000002"/>
    <n v="0"/>
  </r>
  <r>
    <d v="2025-08-08T00:00:00"/>
    <x v="0"/>
    <x v="2"/>
    <m/>
    <x v="3"/>
    <s v="RTGS/SAMVARDHANA /TMBLR52025080800363715 (Ref# 1544079)"/>
    <n v="10"/>
    <n v="0"/>
  </r>
  <r>
    <d v="2025-08-08T00:00:00"/>
    <x v="0"/>
    <x v="0"/>
    <m/>
    <x v="2"/>
    <s v="RTGS/MTC BUSINESS/HDFCR52025080899102309"/>
    <n v="0"/>
    <n v="5.7897999999999996"/>
  </r>
  <r>
    <d v="2025-08-08T00:00:00"/>
    <x v="0"/>
    <x v="0"/>
    <m/>
    <x v="0"/>
    <s v="NEFT/METAL AND SCRAP TR/HDFCH00414533624"/>
    <n v="0"/>
    <n v="0.37080000000000002"/>
  </r>
  <r>
    <d v="2025-08-08T00:00:00"/>
    <x v="0"/>
    <x v="6"/>
    <m/>
    <x v="24"/>
    <s v="CS/CHEPA/SELF (Ref# 1544065)"/>
    <n v="1"/>
    <n v="0"/>
  </r>
  <r>
    <d v="2025-08-11T00:00:00"/>
    <x v="0"/>
    <x v="1"/>
    <m/>
    <x v="1"/>
    <s v="TR/CHEPA/VEERA INDUSTRIES"/>
    <n v="0"/>
    <n v="10"/>
  </r>
  <r>
    <d v="2025-08-11T00:00:00"/>
    <x v="0"/>
    <x v="0"/>
    <m/>
    <x v="2"/>
    <s v="RTGS/MTC BUSINESS/HDFCR52025081199584032"/>
    <n v="0"/>
    <n v="5.4304100000000002"/>
  </r>
  <r>
    <d v="2025-08-11T00:00:00"/>
    <x v="0"/>
    <x v="2"/>
    <m/>
    <x v="15"/>
    <s v="RTGS/SMS And Assemblies/TMBLR52025081100639976"/>
    <n v="22"/>
    <n v="0"/>
  </r>
  <r>
    <d v="2025-08-11T00:00:00"/>
    <x v="0"/>
    <x v="2"/>
    <m/>
    <x v="6"/>
    <s v="eBank/Tr To K S S ENTERPRISES / Trf"/>
    <n v="0.15"/>
    <n v="0"/>
  </r>
  <r>
    <d v="2025-08-12T00:00:00"/>
    <x v="0"/>
    <x v="7"/>
    <m/>
    <x v="25"/>
    <s v="Loan Coll. To -210700850100057"/>
    <n v="0.42004000000000002"/>
    <n v="0"/>
  </r>
  <r>
    <d v="2025-08-12T00:00:00"/>
    <x v="0"/>
    <x v="0"/>
    <m/>
    <x v="0"/>
    <s v="RTGS/METAL AND SC/HDFCR52025081250076980"/>
    <n v="0"/>
    <n v="2.5"/>
  </r>
  <r>
    <d v="2025-08-12T00:00:00"/>
    <x v="0"/>
    <x v="0"/>
    <m/>
    <x v="26"/>
    <s v="NEFT/SRI SAI ENTERPRISE/HDFCH00421344153"/>
    <n v="0"/>
    <n v="25"/>
  </r>
  <r>
    <d v="2025-08-12T00:00:00"/>
    <x v="0"/>
    <x v="1"/>
    <m/>
    <x v="1"/>
    <s v="eBank/Tr To VEERA INDUSTRIES / TRF"/>
    <n v="10"/>
    <n v="0"/>
  </r>
  <r>
    <d v="2025-08-12T00:00:00"/>
    <x v="0"/>
    <x v="2"/>
    <m/>
    <x v="15"/>
    <s v="RTGS/SMS And Assemblies/TMBLR52025081200801150"/>
    <n v="15"/>
    <n v="0"/>
  </r>
  <r>
    <d v="2025-08-12T00:00:00"/>
    <x v="0"/>
    <x v="0"/>
    <m/>
    <x v="2"/>
    <s v="RTGS/MTC BUSINESS/HDFCR52025081250270339"/>
    <n v="0"/>
    <n v="9.8165600000000008"/>
  </r>
  <r>
    <d v="2025-08-13T00:00:00"/>
    <x v="0"/>
    <x v="0"/>
    <m/>
    <x v="0"/>
    <s v="RTGS/METAL AND SC/HDFCR52025081350514308"/>
    <n v="0"/>
    <n v="6"/>
  </r>
  <r>
    <d v="2025-08-13T00:00:00"/>
    <x v="0"/>
    <x v="6"/>
    <m/>
    <x v="24"/>
    <s v="CS/CHEPA/SELF (Ref# 1544120)"/>
    <n v="1"/>
    <n v="0"/>
  </r>
  <r>
    <d v="2025-08-13T00:00:00"/>
    <x v="0"/>
    <x v="0"/>
    <m/>
    <x v="2"/>
    <s v="RTGS/MTC BUSINESS/HDFCR52025081350653155"/>
    <n v="0"/>
    <n v="5.9670899999999998"/>
  </r>
  <r>
    <d v="2025-08-13T00:00:00"/>
    <x v="0"/>
    <x v="2"/>
    <m/>
    <x v="3"/>
    <s v="RTGS/SAMVARDHANA /TMBLR52025081300930402 (Ref# 1544082)"/>
    <n v="16"/>
    <n v="0"/>
  </r>
  <r>
    <d v="2025-08-13T00:00:00"/>
    <x v="0"/>
    <x v="0"/>
    <m/>
    <x v="27"/>
    <s v="RTGS/SRI SUN ENTE/HDFCR52025081350515192"/>
    <n v="0"/>
    <n v="25"/>
  </r>
  <r>
    <d v="2025-08-14T00:00:00"/>
    <x v="0"/>
    <x v="0"/>
    <m/>
    <x v="0"/>
    <s v="RTGS/METAL AND SC/HDFCR52025081450983959"/>
    <n v="0"/>
    <n v="3"/>
  </r>
  <r>
    <d v="2025-08-14T00:00:00"/>
    <x v="0"/>
    <x v="0"/>
    <m/>
    <x v="2"/>
    <s v="RTGS/MTC BUSINESS/HDFCR52025081451030714"/>
    <n v="0"/>
    <n v="2.9338600000000001"/>
  </r>
  <r>
    <d v="2025-08-14T00:00:00"/>
    <x v="0"/>
    <x v="2"/>
    <m/>
    <x v="28"/>
    <s v="NEFT/TAMIL SELVAN G/TMBLH25226048303 (Ref# 1544085)"/>
    <n v="0.1"/>
    <n v="0"/>
  </r>
  <r>
    <d v="2025-08-14T00:00:00"/>
    <x v="0"/>
    <x v="2"/>
    <m/>
    <x v="3"/>
    <s v="RTGS/SAMVARDHANA /TMBLR52025081400048765 (Ref# 1544088)"/>
    <n v="20"/>
    <n v="0"/>
  </r>
  <r>
    <d v="2025-08-14T00:00:00"/>
    <x v="0"/>
    <x v="1"/>
    <m/>
    <x v="1"/>
    <s v="TR/CHEPA/VEERA NDUSTRIES (Ref# 1544091)"/>
    <n v="0.5"/>
    <n v="0"/>
  </r>
  <r>
    <d v="2025-08-14T00:00:00"/>
    <x v="0"/>
    <x v="2"/>
    <m/>
    <x v="8"/>
    <s v="NEFT/RAMAJAYAM/TMBLH25226049341 (Ref# 1544089)"/>
    <n v="2"/>
    <n v="0"/>
  </r>
  <r>
    <d v="2025-08-14T00:00:00"/>
    <x v="0"/>
    <x v="2"/>
    <m/>
    <x v="3"/>
    <s v="NEFT/SAMVARDHANA MOTHER/TMBLH25226049771 (Ref# 1544087)"/>
    <n v="0.21969"/>
    <n v="0"/>
  </r>
  <r>
    <d v="2025-08-14T00:00:00"/>
    <x v="0"/>
    <x v="2"/>
    <m/>
    <x v="29"/>
    <s v="RTGS/AROKIA TRADE/TMBLR52025081400052452 (Ref# 1544081)"/>
    <n v="2.86"/>
    <n v="0"/>
  </r>
  <r>
    <d v="2025-08-14T00:00:00"/>
    <x v="0"/>
    <x v="2"/>
    <m/>
    <x v="30"/>
    <s v="NEFT/DHANALAKSHMI RAJKA/TMBLH25226052567 (Ref# 1544084)"/>
    <n v="1"/>
    <n v="0"/>
  </r>
  <r>
    <d v="2025-08-14T00:00:00"/>
    <x v="0"/>
    <x v="2"/>
    <m/>
    <x v="31"/>
    <s v="NEFT/RAJKANTH JAYARAM/TMBLH25226052859 (Ref# 1544083)"/>
    <n v="1.25"/>
    <n v="0"/>
  </r>
  <r>
    <d v="2025-08-14T00:00:00"/>
    <x v="0"/>
    <x v="3"/>
    <n v="1544086"/>
    <x v="32"/>
    <s v="NEFT/A ARUL/TMBLH25226056834 (Ref# 1544086)"/>
    <n v="0.2"/>
    <n v="0"/>
  </r>
  <r>
    <d v="2025-08-14T00:00:00"/>
    <x v="0"/>
    <x v="1"/>
    <m/>
    <x v="1"/>
    <s v="TR/CHEPA/VEERA INDUSTRIES (Ref# 1544092)"/>
    <n v="3"/>
    <n v="0"/>
  </r>
  <r>
    <d v="2025-08-18T00:00:00"/>
    <x v="0"/>
    <x v="0"/>
    <m/>
    <x v="0"/>
    <s v="RTGS/METAL AND SC/HDFCR52025081851656721"/>
    <n v="0"/>
    <n v="4"/>
  </r>
  <r>
    <d v="2025-08-18T00:00:00"/>
    <x v="0"/>
    <x v="1"/>
    <m/>
    <x v="1"/>
    <s v="TR/CHEPA/VEERA INDUSTRIES"/>
    <n v="0"/>
    <n v="6"/>
  </r>
  <r>
    <d v="2025-08-18T00:00:00"/>
    <x v="0"/>
    <x v="2"/>
    <m/>
    <x v="13"/>
    <s v="NEFT/G S TECHNOLOGIES/TMBLH25230408903 (Ref# 1544094)"/>
    <n v="0.1593"/>
    <n v="0"/>
  </r>
  <r>
    <d v="2025-08-18T00:00:00"/>
    <x v="0"/>
    <x v="2"/>
    <m/>
    <x v="3"/>
    <s v="RTGS/SAMVARDHANA /TMBLR52025081800410080 (Ref# 1544093)"/>
    <n v="12"/>
    <n v="0"/>
  </r>
  <r>
    <d v="2025-08-19T00:00:00"/>
    <x v="0"/>
    <x v="0"/>
    <m/>
    <x v="0"/>
    <s v="NEFT/METAL AND SCRAP TR/HDFCH00431655151"/>
    <n v="0"/>
    <n v="0.36049999999999999"/>
  </r>
  <r>
    <d v="2025-08-19T00:00:00"/>
    <x v="0"/>
    <x v="0"/>
    <m/>
    <x v="2"/>
    <s v="RTGS/MTC BUSINESS/HDFCR52025081952129608"/>
    <n v="0"/>
    <n v="4.4222299999999999"/>
  </r>
  <r>
    <d v="2025-08-19T00:00:00"/>
    <x v="0"/>
    <x v="6"/>
    <m/>
    <x v="24"/>
    <s v="CS/CHEPA/SELF (Ref# 1544119)"/>
    <n v="0.25"/>
    <n v="0"/>
  </r>
  <r>
    <d v="2025-08-19T00:00:00"/>
    <x v="0"/>
    <x v="1"/>
    <m/>
    <x v="1"/>
    <s v="TR/CHEPA/VEERA INDUSTRIES"/>
    <n v="0"/>
    <n v="2"/>
  </r>
  <r>
    <d v="2025-08-19T00:00:00"/>
    <x v="0"/>
    <x v="2"/>
    <m/>
    <x v="3"/>
    <s v="RTGS/SAMVARDHANA /TMBLR52025081900523840 (Ref# 1544095)"/>
    <n v="11"/>
    <n v="0"/>
  </r>
  <r>
    <d v="2025-08-20T00:00:00"/>
    <x v="0"/>
    <x v="1"/>
    <m/>
    <x v="1"/>
    <s v="TR/CHEPA/VEERA INDUSTRIES"/>
    <n v="0"/>
    <n v="13"/>
  </r>
  <r>
    <d v="2025-08-20T00:00:00"/>
    <x v="0"/>
    <x v="2"/>
    <m/>
    <x v="6"/>
    <s v="TR/CHEPA/K S S ENTERPRISES (Ref# 1544097)"/>
    <n v="0.28999999999999998"/>
    <n v="0"/>
  </r>
  <r>
    <d v="2025-08-20T00:00:00"/>
    <x v="0"/>
    <x v="2"/>
    <m/>
    <x v="3"/>
    <s v="RTGS/SAMVARDHANA /TMBLR52025082000619620 (Ref# 1544096)"/>
    <n v="12"/>
    <n v="0"/>
  </r>
  <r>
    <d v="2025-08-21T00:00:00"/>
    <x v="0"/>
    <x v="0"/>
    <m/>
    <x v="0"/>
    <s v="RTGS/METAL AND SC/HDFCR52025082152968613"/>
    <n v="0"/>
    <n v="2"/>
  </r>
  <r>
    <d v="2025-08-21T00:00:00"/>
    <x v="0"/>
    <x v="0"/>
    <m/>
    <x v="2"/>
    <s v="RTGS/MTC BUSINESS/HDFCR52025082152899985"/>
    <n v="0"/>
    <n v="6.3069499999999996"/>
  </r>
  <r>
    <d v="2025-08-21T00:00:00"/>
    <x v="0"/>
    <x v="1"/>
    <m/>
    <x v="1"/>
    <s v="eBank/Tr From VEERA INDUSTRIES / TRF"/>
    <n v="0"/>
    <n v="1"/>
  </r>
  <r>
    <d v="2025-08-21T00:00:00"/>
    <x v="0"/>
    <x v="2"/>
    <m/>
    <x v="15"/>
    <s v="RTGS/SMS And Assemblies/TMBLR52025082100755886"/>
    <n v="10"/>
    <n v="0"/>
  </r>
  <r>
    <d v="2025-08-21T00:00:00"/>
    <x v="0"/>
    <x v="2"/>
    <m/>
    <x v="11"/>
    <s v="NEFT/PNDURANGAN/TMBLH25233772431 (Ref# 1544098)"/>
    <n v="0.5"/>
    <n v="0"/>
  </r>
  <r>
    <d v="2025-08-21T00:00:00"/>
    <x v="0"/>
    <x v="0"/>
    <m/>
    <x v="33"/>
    <s v="IMPS/SRI AMBAL TRADE/523317830910/ICIC/AFFANMETAL"/>
    <n v="0"/>
    <n v="2.8185199999999999"/>
  </r>
  <r>
    <d v="2025-08-22T00:00:00"/>
    <x v="0"/>
    <x v="0"/>
    <m/>
    <x v="0"/>
    <s v="RTGS/METAL AND SC/HDFCR52025082253358530"/>
    <n v="0"/>
    <n v="3"/>
  </r>
  <r>
    <d v="2025-08-22T00:00:00"/>
    <x v="0"/>
    <x v="0"/>
    <m/>
    <x v="2"/>
    <s v="RTGS/MTC BUSINESS/HDFCR52025082253410427"/>
    <n v="0"/>
    <n v="3.2738900000000002"/>
  </r>
  <r>
    <d v="2025-08-22T00:00:00"/>
    <x v="0"/>
    <x v="2"/>
    <m/>
    <x v="15"/>
    <s v="RTGS/SMS And Assemblies/TMBLR52025082200880682"/>
    <n v="9"/>
    <n v="0"/>
  </r>
  <r>
    <d v="2025-08-22T00:00:00"/>
    <x v="0"/>
    <x v="0"/>
    <m/>
    <x v="33"/>
    <s v="RTGS/SRI AMBAL TR/ICICR42025082200553480"/>
    <n v="0"/>
    <n v="10.358980000000001"/>
  </r>
  <r>
    <d v="2025-08-23T00:00:00"/>
    <x v="0"/>
    <x v="7"/>
    <m/>
    <x v="34"/>
    <s v="Loan Coll. To -210700850100063"/>
    <n v="0.12615999999999999"/>
    <n v="0"/>
  </r>
  <r>
    <d v="2025-08-23T00:00:00"/>
    <x v="0"/>
    <x v="0"/>
    <m/>
    <x v="2"/>
    <s v="RTGS/MTC BUSINESS/HDFCR52025082353675719"/>
    <n v="0"/>
    <n v="4.3403999999999998"/>
  </r>
  <r>
    <d v="2025-08-25T00:00:00"/>
    <x v="0"/>
    <x v="0"/>
    <m/>
    <x v="0"/>
    <s v="RTGS/METAL AND SC/HDFCR52025082553936365"/>
    <n v="0"/>
    <n v="3"/>
  </r>
  <r>
    <d v="2025-08-25T00:00:00"/>
    <x v="0"/>
    <x v="2"/>
    <m/>
    <x v="15"/>
    <s v="RTGS/SMS And Assemblies/TMBLR52025082500138175"/>
    <n v="10"/>
    <n v="0"/>
  </r>
  <r>
    <d v="2025-08-26T00:00:00"/>
    <x v="0"/>
    <x v="0"/>
    <m/>
    <x v="19"/>
    <s v="RTGS/PUSHPANATAHN/SBINR52025082696573674"/>
    <n v="0"/>
    <n v="5"/>
  </r>
  <r>
    <d v="2025-08-26T00:00:00"/>
    <x v="0"/>
    <x v="4"/>
    <m/>
    <x v="18"/>
    <s v="RTGS/VELMURUHAN/SBINR52025082696585425"/>
    <n v="0"/>
    <n v="5"/>
  </r>
  <r>
    <d v="2025-08-26T00:00:00"/>
    <x v="0"/>
    <x v="4"/>
    <m/>
    <x v="17"/>
    <s v="RTGS/VENKATESAN/CBINR52025082610006845"/>
    <n v="0"/>
    <n v="5"/>
  </r>
  <r>
    <d v="2025-08-26T00:00:00"/>
    <x v="0"/>
    <x v="0"/>
    <m/>
    <x v="2"/>
    <s v="RTGS/MTC BUSINESS/HDFCR52025082654501971"/>
    <n v="0"/>
    <n v="5.9398200000000001"/>
  </r>
  <r>
    <d v="2025-08-26T00:00:00"/>
    <x v="0"/>
    <x v="4"/>
    <m/>
    <x v="23"/>
    <s v="RTGS/M NATARAJAN/UTIBR52025082600355447"/>
    <n v="0"/>
    <n v="7.5"/>
  </r>
  <r>
    <d v="2025-08-26T00:00:00"/>
    <x v="0"/>
    <x v="0"/>
    <m/>
    <x v="0"/>
    <s v="RTGS/METAL AND SC/HDFCR52025082654502842"/>
    <n v="0"/>
    <n v="6"/>
  </r>
  <r>
    <d v="2025-08-26T00:00:00"/>
    <x v="0"/>
    <x v="2"/>
    <m/>
    <x v="15"/>
    <s v="RTGS/SMS And Assemblies/TMBLR52025082600264374"/>
    <n v="16"/>
    <n v="0"/>
  </r>
  <r>
    <d v="2025-08-26T00:00:00"/>
    <x v="0"/>
    <x v="2"/>
    <m/>
    <x v="8"/>
    <s v="NEFT/RAMAJAYAM/TMBLH25238264423"/>
    <n v="0.5"/>
    <n v="0"/>
  </r>
  <r>
    <d v="2025-08-26T00:00:00"/>
    <x v="0"/>
    <x v="1"/>
    <m/>
    <x v="1"/>
    <s v="eBank/Tr To VEERA INDUSTRIES"/>
    <n v="1.25"/>
    <n v="0"/>
  </r>
  <r>
    <d v="2025-08-26T00:00:00"/>
    <x v="0"/>
    <x v="4"/>
    <m/>
    <x v="18"/>
    <s v="RTGS/VELMURUHAN/SBINR52025082696633462"/>
    <n v="0"/>
    <n v="5.0000200000000001"/>
  </r>
  <r>
    <d v="2025-08-26T00:00:00"/>
    <x v="0"/>
    <x v="0"/>
    <m/>
    <x v="21"/>
    <s v="RTGS/PT GOPINATH/SBINR52025082696610995"/>
    <n v="0"/>
    <n v="5"/>
  </r>
  <r>
    <d v="2025-08-26T00:00:00"/>
    <x v="0"/>
    <x v="0"/>
    <m/>
    <x v="33"/>
    <s v="IMPS/SRI AMBAL TRADE/523816823161/ICIC/AFFANMETAL"/>
    <n v="0"/>
    <n v="2.8538100000000002"/>
  </r>
  <r>
    <d v="2025-08-26T00:00:00"/>
    <x v="0"/>
    <x v="0"/>
    <m/>
    <x v="16"/>
    <s v="NEFT/DHANUPRAKASH/HDFCH00443562093"/>
    <n v="0"/>
    <n v="5"/>
  </r>
  <r>
    <d v="2025-08-26T00:00:00"/>
    <x v="0"/>
    <x v="1"/>
    <m/>
    <x v="1"/>
    <s v="TR/CHEPA/VEERA INDUSTRIES (Ref# 1544099)"/>
    <n v="29"/>
    <n v="0"/>
  </r>
  <r>
    <d v="2025-08-28T00:00:00"/>
    <x v="0"/>
    <x v="0"/>
    <m/>
    <x v="33"/>
    <s v="IMPS/SRI AMBAL TRADE/524010073316/ICIC/AFFANMETAL"/>
    <n v="0"/>
    <n v="1.9025300000000001"/>
  </r>
  <r>
    <d v="2025-08-28T00:00:00"/>
    <x v="0"/>
    <x v="0"/>
    <m/>
    <x v="0"/>
    <s v="RTGS/METAL AND SC/HDFCR52025082855124651"/>
    <n v="0"/>
    <n v="2.8"/>
  </r>
  <r>
    <d v="2025-08-28T00:00:00"/>
    <x v="0"/>
    <x v="0"/>
    <m/>
    <x v="2"/>
    <s v="RTGS/MTC BUSINESS/HDFCR52025082855058690"/>
    <n v="0"/>
    <n v="3.8845399999999999"/>
  </r>
  <r>
    <d v="2025-08-28T00:00:00"/>
    <x v="0"/>
    <x v="2"/>
    <m/>
    <x v="3"/>
    <s v="RTGS/SAMVARDHANA /TMBLR52025082800469398 (Ref# 1544100)"/>
    <n v="20"/>
    <n v="0"/>
  </r>
  <r>
    <d v="2025-08-28T00:00:00"/>
    <x v="0"/>
    <x v="2"/>
    <m/>
    <x v="6"/>
    <s v="TR/CHEPA/K S S ENTERPRISES (Ref# 1544101)"/>
    <n v="0.5"/>
    <n v="0"/>
  </r>
  <r>
    <d v="2025-08-29T00:00:00"/>
    <x v="0"/>
    <x v="0"/>
    <m/>
    <x v="2"/>
    <s v="RTGS/MTC BUSINESS/HDFCR52025082955526683"/>
    <n v="0"/>
    <n v="3.1793300000000002"/>
  </r>
  <r>
    <d v="2025-08-29T00:00:00"/>
    <x v="0"/>
    <x v="0"/>
    <m/>
    <x v="0"/>
    <s v="RTGS/METAL AND SC/HDFCR52025082955622218"/>
    <n v="0"/>
    <n v="6"/>
  </r>
  <r>
    <d v="2025-08-29T00:00:00"/>
    <x v="0"/>
    <x v="2"/>
    <m/>
    <x v="3"/>
    <s v="RTGS/SAMVARDHANA /TMBLR52025082900600167 (Ref# 1544102)"/>
    <n v="10"/>
    <n v="0"/>
  </r>
  <r>
    <d v="2025-08-30T00:00:00"/>
    <x v="0"/>
    <x v="4"/>
    <m/>
    <x v="23"/>
    <s v="RTGS/M NATARAJAN/UTIBR52025083000353210"/>
    <n v="0"/>
    <n v="8"/>
  </r>
  <r>
    <d v="2025-08-30T00:00:00"/>
    <x v="0"/>
    <x v="0"/>
    <m/>
    <x v="33"/>
    <s v="IMPS/SRI AMBAL TRADE/524212883762/ICIC/AFFANMETAL"/>
    <n v="0"/>
    <n v="2.0436800000000002"/>
  </r>
  <r>
    <d v="2025-08-30T00:00:00"/>
    <x v="0"/>
    <x v="0"/>
    <m/>
    <x v="0"/>
    <s v="RTGS/METAL AND SC/HDFCR52025083055955751"/>
    <n v="0"/>
    <n v="3"/>
  </r>
  <r>
    <d v="2025-08-30T00:00:00"/>
    <x v="0"/>
    <x v="0"/>
    <m/>
    <x v="2"/>
    <s v="RTGS/MTC BUSINESS/HDFCR52025083055995691"/>
    <n v="0"/>
    <n v="3.0916600000000001"/>
  </r>
  <r>
    <d v="2025-08-30T00:00:00"/>
    <x v="0"/>
    <x v="0"/>
    <m/>
    <x v="16"/>
    <s v="NEFT/DHANUPRAKASH/HDFCH00451493967"/>
    <n v="0"/>
    <n v="6"/>
  </r>
  <r>
    <d v="2025-08-30T00:00:00"/>
    <x v="0"/>
    <x v="4"/>
    <m/>
    <x v="18"/>
    <s v="RTGS/VELMURUHAN P/SBINR52025083097141444"/>
    <n v="0"/>
    <n v="9"/>
  </r>
  <r>
    <d v="2025-08-30T00:00:00"/>
    <x v="0"/>
    <x v="2"/>
    <m/>
    <x v="8"/>
    <s v="NEFT/RAMAJAYAM/TMBLH25242719508 (Ref# 1544104)"/>
    <n v="0.5"/>
    <n v="0"/>
  </r>
  <r>
    <d v="2025-08-30T00:00:00"/>
    <x v="0"/>
    <x v="4"/>
    <m/>
    <x v="35"/>
    <s v="RTGS/LATHA/CBINR52025083010015830"/>
    <n v="0"/>
    <n v="12"/>
  </r>
  <r>
    <d v="2025-08-30T00:00:00"/>
    <x v="0"/>
    <x v="2"/>
    <m/>
    <x v="3"/>
    <s v="RTGS/SAMVARDHANA /TMBLR52025083000727042 (Ref# 1544103)"/>
    <n v="30"/>
    <n v="0"/>
  </r>
  <r>
    <d v="2025-08-30T00:00:00"/>
    <x v="0"/>
    <x v="4"/>
    <m/>
    <x v="36"/>
    <s v="IMPS/UTHIRIYA PRADEE/524218658868/IOBA/Loan Repaym"/>
    <n v="0"/>
    <n v="0.5"/>
  </r>
  <r>
    <d v="2025-09-01T00:00:00"/>
    <x v="1"/>
    <x v="2"/>
    <m/>
    <x v="3"/>
    <s v="RTGS/SAMVARDHANA /TMBLR52025090100871423 (Ref# 1544105)"/>
    <n v="13"/>
    <n v="0"/>
  </r>
  <r>
    <d v="2025-09-01T00:00:00"/>
    <x v="1"/>
    <x v="4"/>
    <m/>
    <x v="36"/>
    <s v="RTGS/UTHIRIYA PRA/IOBAR52025090100307148"/>
    <n v="0"/>
    <n v="11"/>
  </r>
  <r>
    <d v="2025-09-01T00:00:00"/>
    <x v="1"/>
    <x v="0"/>
    <m/>
    <x v="0"/>
    <s v="NEFT/METAL AND SCRAP TR/HDFCH00454314139"/>
    <n v="0"/>
    <n v="0.74690000000000001"/>
  </r>
  <r>
    <d v="2025-09-01T00:00:00"/>
    <x v="1"/>
    <x v="4"/>
    <m/>
    <x v="36"/>
    <s v="IMPS/UTHIRIYA PRADEE/524414799270/IOBA/Loan Repaym"/>
    <n v="0"/>
    <n v="0.5"/>
  </r>
  <r>
    <d v="2025-09-01T00:00:00"/>
    <x v="1"/>
    <x v="0"/>
    <m/>
    <x v="21"/>
    <s v="RTGS/GOPINATH/SBINR52025090197288554"/>
    <n v="0"/>
    <n v="7"/>
  </r>
  <r>
    <d v="2025-09-01T00:00:00"/>
    <x v="1"/>
    <x v="4"/>
    <m/>
    <x v="18"/>
    <s v="NEFT/VELMURUGAN/SBIN325244848394"/>
    <n v="0"/>
    <n v="3"/>
  </r>
  <r>
    <d v="2025-09-02T00:00:00"/>
    <x v="1"/>
    <x v="2"/>
    <m/>
    <x v="3"/>
    <s v="RTGS/SAMVARDHANA /TMBLR52025090200034427 (Ref# 1544107)"/>
    <n v="8.5351499999999998"/>
    <n v="0"/>
  </r>
  <r>
    <d v="2025-09-02T00:00:00"/>
    <x v="1"/>
    <x v="0"/>
    <m/>
    <x v="2"/>
    <s v="RTGS/MTC BUSINESS/HDFCR52025090256881804"/>
    <n v="0"/>
    <n v="5.85215"/>
  </r>
  <r>
    <d v="2025-09-02T00:00:00"/>
    <x v="1"/>
    <x v="3"/>
    <n v="1544108"/>
    <x v="4"/>
    <s v="TR/CHEPA/ILAKKIA (Ref# 1544108)"/>
    <n v="1.1299999999999999"/>
    <n v="0"/>
  </r>
  <r>
    <d v="2025-09-02T00:00:00"/>
    <x v="1"/>
    <x v="0"/>
    <m/>
    <x v="33"/>
    <s v="IMPS/SRI AMBAL TRADE/524516324238/ICIC/AFFANMETAL"/>
    <n v="0"/>
    <n v="3.1805500000000002"/>
  </r>
  <r>
    <d v="2025-09-03T00:00:00"/>
    <x v="1"/>
    <x v="0"/>
    <m/>
    <x v="0"/>
    <s v="RTGS/METAL AND SC/HDFCR52025090357231751"/>
    <n v="0"/>
    <n v="2"/>
  </r>
  <r>
    <d v="2025-09-03T00:00:00"/>
    <x v="1"/>
    <x v="2"/>
    <m/>
    <x v="15"/>
    <s v="RTGS/SMS And Assemblies/TMBLR52025090300164575"/>
    <n v="10"/>
    <n v="0"/>
  </r>
  <r>
    <d v="2025-09-03T00:00:00"/>
    <x v="1"/>
    <x v="0"/>
    <m/>
    <x v="2"/>
    <s v="RTGS/MTC BUSINESS/HDFCR52025090357263677"/>
    <n v="0"/>
    <n v="2.2753999999999999"/>
  </r>
  <r>
    <d v="2025-09-03T00:00:00"/>
    <x v="1"/>
    <x v="0"/>
    <m/>
    <x v="33"/>
    <s v="NEFT/SRI AMBAL TRADERS/ICIN424655771949"/>
    <n v="0"/>
    <n v="3.1109599999999999"/>
  </r>
  <r>
    <d v="2025-09-04T00:00:00"/>
    <x v="1"/>
    <x v="0"/>
    <m/>
    <x v="0"/>
    <s v="RTGS/METAL AND SC/HDFCR52025090457544184"/>
    <n v="0"/>
    <n v="2.5"/>
  </r>
  <r>
    <d v="2025-09-04T00:00:00"/>
    <x v="1"/>
    <x v="0"/>
    <m/>
    <x v="2"/>
    <s v="RTGS/MTC BUSINESS/HDFCR52025090457558769"/>
    <n v="0"/>
    <n v="4.9209399999999999"/>
  </r>
  <r>
    <d v="2025-09-04T00:00:00"/>
    <x v="1"/>
    <x v="0"/>
    <m/>
    <x v="33"/>
    <s v="NEFT/SRI AMBAL TRADERS/ICIN424756276492"/>
    <n v="0"/>
    <n v="2.6140500000000002"/>
  </r>
  <r>
    <d v="2025-09-04T00:00:00"/>
    <x v="1"/>
    <x v="2"/>
    <m/>
    <x v="3"/>
    <s v="RTGS/SAMVARDHANA /TMBLR52025090400293228 (Ref# 1544109)"/>
    <n v="10"/>
    <n v="0"/>
  </r>
  <r>
    <d v="2025-09-04T00:00:00"/>
    <x v="1"/>
    <x v="2"/>
    <m/>
    <x v="6"/>
    <s v="TR/CHEPA/KSS ENTERPRISES (Ref# 1544110)"/>
    <n v="0.1"/>
    <n v="0"/>
  </r>
  <r>
    <d v="2025-09-04T00:00:00"/>
    <x v="1"/>
    <x v="6"/>
    <m/>
    <x v="24"/>
    <s v="CS/CHEPA/SELF (Ref# 1544118)"/>
    <n v="1"/>
    <n v="0"/>
  </r>
  <r>
    <d v="2025-09-04T00:00:00"/>
    <x v="1"/>
    <x v="5"/>
    <m/>
    <x v="20"/>
    <s v="TIN/25090400167418/TAX (Ref# 1544112)"/>
    <n v="5.1020000000000003E-2"/>
    <n v="0"/>
  </r>
  <r>
    <d v="2025-09-04T00:00:00"/>
    <x v="1"/>
    <x v="5"/>
    <m/>
    <x v="20"/>
    <s v="TIN/25090400164908/TAX (Ref# 1544111)"/>
    <n v="2.8100700000000001"/>
    <n v="0"/>
  </r>
  <r>
    <d v="2025-09-04T00:00:00"/>
    <x v="1"/>
    <x v="3"/>
    <n v="1544113"/>
    <x v="14"/>
    <s v="NEFT/PREETHI G/TMBLH25247333827 (Ref# 1544113)"/>
    <n v="1"/>
    <n v="0"/>
  </r>
  <r>
    <d v="2025-09-05T00:00:00"/>
    <x v="1"/>
    <x v="0"/>
    <m/>
    <x v="2"/>
    <s v="RTGS/MTC BUSINESS/HDFCR52025090557994625"/>
    <n v="0"/>
    <n v="2.3455900000000001"/>
  </r>
  <r>
    <d v="2025-09-05T00:00:00"/>
    <x v="1"/>
    <x v="2"/>
    <m/>
    <x v="15"/>
    <s v="RTGS/SMS And Assemblies/TMBLR52025090500468042"/>
    <n v="15"/>
    <n v="0"/>
  </r>
  <r>
    <d v="2025-09-06T00:00:00"/>
    <x v="1"/>
    <x v="4"/>
    <m/>
    <x v="7"/>
    <s v="RTGS/K R SRINIVAS/ICICR42025090600501818"/>
    <n v="0"/>
    <n v="14"/>
  </r>
  <r>
    <d v="2025-09-06T00:00:00"/>
    <x v="1"/>
    <x v="0"/>
    <m/>
    <x v="0"/>
    <s v="RTGS/METAL AND SC/HDFCR52025090658212024"/>
    <n v="0"/>
    <n v="2.5"/>
  </r>
  <r>
    <d v="2025-09-06T00:00:00"/>
    <x v="1"/>
    <x v="0"/>
    <m/>
    <x v="2"/>
    <s v="RTGS/MTC BUSINESS/HDFCR52025090658203644"/>
    <n v="0"/>
    <n v="3.3721899999999998"/>
  </r>
  <r>
    <d v="2025-09-06T00:00:00"/>
    <x v="1"/>
    <x v="7"/>
    <m/>
    <x v="34"/>
    <s v="Loan Coll. To -210700850100063"/>
    <n v="5.9000000000000003E-4"/>
    <n v="0"/>
  </r>
  <r>
    <d v="2025-09-08T00:00:00"/>
    <x v="1"/>
    <x v="2"/>
    <m/>
    <x v="15"/>
    <s v="RTGS/SMS And Assemblies/TMBLR52025090800735089"/>
    <n v="20"/>
    <n v="0"/>
  </r>
  <r>
    <d v="2025-09-08T00:00:00"/>
    <x v="1"/>
    <x v="4"/>
    <m/>
    <x v="7"/>
    <s v="RTGS/K R SRINIVAS/ICICR42025090800515136"/>
    <n v="0"/>
    <n v="10"/>
  </r>
  <r>
    <d v="2025-09-08T00:00:00"/>
    <x v="1"/>
    <x v="0"/>
    <m/>
    <x v="0"/>
    <s v="NEFT/METAL AND SCRAP TR/HDFCH00470740356"/>
    <n v="0"/>
    <n v="0.36263000000000001"/>
  </r>
  <r>
    <d v="2025-09-08T00:00:00"/>
    <x v="1"/>
    <x v="2"/>
    <m/>
    <x v="31"/>
    <s v="NEFT/RAJKANTH JAYARAM/TMBLH25251769453 (Ref# 1544114)"/>
    <n v="0.4"/>
    <n v="0"/>
  </r>
  <r>
    <d v="2025-09-08T00:00:00"/>
    <x v="1"/>
    <x v="2"/>
    <m/>
    <x v="30"/>
    <s v="NEFT/DHANALAKSHMI RAJKA/TMBLH25251769484 (Ref# 1544115)"/>
    <n v="0.35"/>
    <n v="0"/>
  </r>
  <r>
    <d v="2025-09-08T00:00:00"/>
    <x v="1"/>
    <x v="0"/>
    <m/>
    <x v="33"/>
    <s v="RTGS/SRI AMBAL TR/ICICR42025090800544529"/>
    <n v="0"/>
    <n v="6.0692000000000004"/>
  </r>
  <r>
    <d v="2025-09-08T00:00:00"/>
    <x v="1"/>
    <x v="0"/>
    <m/>
    <x v="13"/>
    <s v="NEFT/DHANALAKSHMI RAJKA/RETNH25251727451"/>
    <n v="0"/>
    <n v="0.35"/>
  </r>
  <r>
    <d v="2025-09-09T00:00:00"/>
    <x v="1"/>
    <x v="2"/>
    <m/>
    <x v="15"/>
    <s v="RTGS/SMS And Assemblies/TMBLR52025090900870665"/>
    <n v="15"/>
    <n v="0"/>
  </r>
  <r>
    <d v="2025-09-09T00:00:00"/>
    <x v="1"/>
    <x v="0"/>
    <m/>
    <x v="2"/>
    <s v="RTGS/MTC BUSINESS/HDFCR52025090959012440"/>
    <n v="0"/>
    <n v="9.0256299999999996"/>
  </r>
  <r>
    <d v="2025-09-09T00:00:00"/>
    <x v="1"/>
    <x v="0"/>
    <m/>
    <x v="0"/>
    <s v="RTGS/METAL AND SC/HDFCR52025090958987202"/>
    <n v="0"/>
    <n v="3"/>
  </r>
  <r>
    <d v="2025-09-09T00:00:00"/>
    <x v="1"/>
    <x v="5"/>
    <m/>
    <x v="20"/>
    <s v="eBank/GST/25093300047263"/>
    <n v="1.78054"/>
    <n v="0"/>
  </r>
  <r>
    <d v="2025-09-09T00:00:00"/>
    <x v="1"/>
    <x v="2"/>
    <m/>
    <x v="37"/>
    <s v="eBank/Tr To XAVIERDAS.A / TRANSFER TO MR XAVIE"/>
    <n v="0.1"/>
    <n v="0"/>
  </r>
  <r>
    <d v="2025-09-09T00:00:00"/>
    <x v="1"/>
    <x v="2"/>
    <m/>
    <x v="30"/>
    <s v="NEFT/DHANALAKSHMI RAJKA/TMBLH25252898221 (Ref# 1544116)"/>
    <n v="0.35"/>
    <n v="0"/>
  </r>
  <r>
    <d v="2025-09-09T00:00:00"/>
    <x v="1"/>
    <x v="0"/>
    <m/>
    <x v="38"/>
    <s v="RTGS/S S S TRADER/YESBR12025090900025272"/>
    <n v="0"/>
    <n v="5.557436"/>
  </r>
  <r>
    <d v="2025-09-09T00:00:00"/>
    <x v="1"/>
    <x v="1"/>
    <m/>
    <x v="1"/>
    <s v="TR/CHEPA/VEERA INDUSTRIES (Ref# 1544121)"/>
    <n v="5.5"/>
    <n v="0"/>
  </r>
  <r>
    <d v="2025-09-09T00:00:00"/>
    <x v="1"/>
    <x v="2"/>
    <m/>
    <x v="8"/>
    <s v="NEFT/RAMAJAYAM/TMBLH25252931716"/>
    <n v="1.61134"/>
    <n v="0"/>
  </r>
  <r>
    <d v="2025-09-09T00:00:00"/>
    <x v="1"/>
    <x v="2"/>
    <m/>
    <x v="9"/>
    <s v="NEFT/SARAVANAN M/TMBLH25252931843"/>
    <n v="0.87570000000000003"/>
    <n v="0"/>
  </r>
  <r>
    <d v="2025-09-09T00:00:00"/>
    <x v="1"/>
    <x v="2"/>
    <m/>
    <x v="10"/>
    <s v="NEFT/KANNAN/TMBLH25252931993"/>
    <n v="0.70904"/>
    <n v="0"/>
  </r>
  <r>
    <d v="2025-09-09T00:00:00"/>
    <x v="1"/>
    <x v="2"/>
    <m/>
    <x v="11"/>
    <s v="NEFT/PANDURANGAN/TMBLH25252932137"/>
    <n v="0.12855"/>
    <n v="0"/>
  </r>
  <r>
    <d v="2025-09-09T00:00:00"/>
    <x v="1"/>
    <x v="2"/>
    <m/>
    <x v="12"/>
    <s v="NEFT/vinod kumar/TMBLH25252932415"/>
    <n v="0.66"/>
    <n v="0"/>
  </r>
  <r>
    <d v="2025-09-09T00:00:00"/>
    <x v="1"/>
    <x v="2"/>
    <m/>
    <x v="15"/>
    <s v="RTGS/SMS And Assemblies/TMBLR52025090900932538"/>
    <n v="8"/>
    <n v="0"/>
  </r>
  <r>
    <d v="2025-09-09T00:00:00"/>
    <x v="1"/>
    <x v="4"/>
    <m/>
    <x v="7"/>
    <s v="IMPS/K R SRINIVASAN/525217773753/ICIC/repayac"/>
    <n v="0"/>
    <n v="3"/>
  </r>
  <r>
    <d v="2025-09-09T00:00:00"/>
    <x v="1"/>
    <x v="4"/>
    <m/>
    <x v="7"/>
    <s v="RTGS/K R SRINIVAS/ICICR42025090900566241"/>
    <n v="0"/>
    <n v="11"/>
  </r>
  <r>
    <d v="2025-09-10T00:00:00"/>
    <x v="1"/>
    <x v="2"/>
    <m/>
    <x v="15"/>
    <s v="RTGS/SMS And Assemblies/TMBLR52025091000007333"/>
    <n v="10"/>
    <n v="0"/>
  </r>
  <r>
    <d v="2025-09-10T00:00:00"/>
    <x v="1"/>
    <x v="2"/>
    <m/>
    <x v="6"/>
    <s v="TR/CHEPA/KSS ENTERRISES (Ref# 1544123)"/>
    <n v="0.67"/>
    <n v="0"/>
  </r>
  <r>
    <d v="2025-09-10T00:00:00"/>
    <x v="1"/>
    <x v="2"/>
    <m/>
    <x v="13"/>
    <s v="eBank/Tr To AMOUNT PAYABLE TO CASHFREE / EB Mr Xav"/>
    <n v="0.1165567"/>
    <n v="0"/>
  </r>
  <r>
    <d v="2025-09-10T00:00:00"/>
    <x v="1"/>
    <x v="0"/>
    <m/>
    <x v="0"/>
    <s v="RTGS/METAL AND SC/HDFCR52025091059520172"/>
    <n v="0"/>
    <n v="5"/>
  </r>
  <r>
    <d v="2025-09-10T00:00:00"/>
    <x v="1"/>
    <x v="1"/>
    <m/>
    <x v="1"/>
    <s v="eBank/Tr From VEERA INDUSTRIES / trf"/>
    <n v="0"/>
    <n v="8"/>
  </r>
  <r>
    <d v="2025-09-10T00:00:00"/>
    <x v="1"/>
    <x v="0"/>
    <m/>
    <x v="33"/>
    <s v="RTGS/SRI AMBAL TR/ICICR42025091000525285"/>
    <n v="0"/>
    <n v="5.5"/>
  </r>
  <r>
    <d v="2025-09-10T00:00:00"/>
    <x v="1"/>
    <x v="1"/>
    <m/>
    <x v="1"/>
    <s v="eBank/Tr To VEERA INDUSTRIES / TRF"/>
    <n v="5"/>
    <n v="0"/>
  </r>
  <r>
    <d v="2025-09-10T00:00:00"/>
    <x v="1"/>
    <x v="0"/>
    <m/>
    <x v="2"/>
    <s v="RTGS/MTC BUSINESS/HDFCR52025091059521403"/>
    <n v="0"/>
    <n v="5.86578"/>
  </r>
  <r>
    <d v="2025-09-10T00:00:00"/>
    <x v="1"/>
    <x v="6"/>
    <m/>
    <x v="24"/>
    <s v="CS/CHEPA/SELF (Ref# 1544117)"/>
    <n v="1.5"/>
    <n v="0"/>
  </r>
  <r>
    <d v="2025-09-10T00:00:00"/>
    <x v="1"/>
    <x v="2"/>
    <m/>
    <x v="3"/>
    <s v="RTGS/SAVARDHANA M/TMBLR52025091000054240 (Ref# 1544124)"/>
    <n v="20"/>
    <n v="0"/>
  </r>
  <r>
    <d v="2025-09-11T00:00:00"/>
    <x v="1"/>
    <x v="0"/>
    <m/>
    <x v="2"/>
    <s v="RTGS/MTC BUSINESS/HDFCR52025091159846060"/>
    <n v="0"/>
    <n v="2.57931"/>
  </r>
  <r>
    <d v="2025-09-11T00:00:00"/>
    <x v="1"/>
    <x v="0"/>
    <m/>
    <x v="0"/>
    <s v="RTGS/METAL AND SC/HDFCR52025091159846745"/>
    <n v="0"/>
    <n v="6"/>
  </r>
  <r>
    <d v="2025-09-11T00:00:00"/>
    <x v="1"/>
    <x v="0"/>
    <m/>
    <x v="33"/>
    <s v="IMPS/SRI AMBAL TRADE/525415814930/ICIC/AFFANMETAL"/>
    <n v="0"/>
    <n v="3.79034"/>
  </r>
  <r>
    <d v="2025-09-11T00:00:00"/>
    <x v="1"/>
    <x v="2"/>
    <m/>
    <x v="3"/>
    <s v="RTGS/SAMVARDHANA /TMBLR52025091100181367 (Ref# 1544125)"/>
    <n v="13"/>
    <n v="0"/>
  </r>
  <r>
    <d v="2025-09-12T00:00:00"/>
    <x v="1"/>
    <x v="7"/>
    <m/>
    <x v="25"/>
    <s v="Loan Coll. To -210700850100057"/>
    <n v="0.42004000000000002"/>
    <n v="0"/>
  </r>
  <r>
    <d v="2025-09-12T00:00:00"/>
    <x v="1"/>
    <x v="0"/>
    <m/>
    <x v="0"/>
    <s v="RTGS/METAL AND SC/HDFCR52025091260309748"/>
    <n v="0"/>
    <n v="3"/>
  </r>
  <r>
    <d v="2025-09-12T00:00:00"/>
    <x v="1"/>
    <x v="0"/>
    <m/>
    <x v="2"/>
    <s v="RTGS/MTC BUSINESS/HDFCR52025091260333570"/>
    <n v="0"/>
    <n v="5.4157599999999997"/>
  </r>
  <r>
    <d v="2025-09-12T00:00:00"/>
    <x v="1"/>
    <x v="2"/>
    <m/>
    <x v="15"/>
    <s v="RTGS/SMS And Assemblies/TMBLR52025091200303626"/>
    <n v="8.5"/>
    <n v="0"/>
  </r>
  <r>
    <d v="2025-09-12T00:00:00"/>
    <x v="1"/>
    <x v="2"/>
    <m/>
    <x v="37"/>
    <s v="eBank/Tr To XAVIERDAS.A / TRF"/>
    <n v="0.1"/>
    <n v="0"/>
  </r>
  <r>
    <d v="2025-09-13T00:00:00"/>
    <x v="1"/>
    <x v="0"/>
    <m/>
    <x v="2"/>
    <s v="RTGS/MTC BUSINESS/HDFCR52025091360680827"/>
    <n v="0"/>
    <n v="2.86958"/>
  </r>
  <r>
    <d v="2025-09-13T00:00:00"/>
    <x v="1"/>
    <x v="2"/>
    <m/>
    <x v="8"/>
    <s v="NEFT/RAMAJAYAM/TMBLH25256414319"/>
    <n v="2"/>
    <n v="0"/>
  </r>
  <r>
    <d v="2025-09-15T00:00:00"/>
    <x v="1"/>
    <x v="0"/>
    <m/>
    <x v="0"/>
    <s v="RTGS/METAL AND SC/HDFCR52025091560962392"/>
    <n v="0"/>
    <n v="4.5"/>
  </r>
  <r>
    <d v="2025-09-15T00:00:00"/>
    <x v="1"/>
    <x v="1"/>
    <m/>
    <x v="1"/>
    <s v="TR/CHEPA/VEERA INDUSTRIES"/>
    <n v="0"/>
    <n v="8"/>
  </r>
  <r>
    <d v="2025-09-15T00:00:00"/>
    <x v="1"/>
    <x v="2"/>
    <m/>
    <x v="39"/>
    <s v="TR/CHEPA/JOTHI LAKSHMI.E (Ref# 1544126)"/>
    <n v="1.5"/>
    <n v="0"/>
  </r>
  <r>
    <d v="2025-09-15T00:00:00"/>
    <x v="1"/>
    <x v="0"/>
    <m/>
    <x v="13"/>
    <s v="IMPS/K Viknesh/525814504058/SBIN/No"/>
    <n v="0"/>
    <n v="1.0000000000000001E-5"/>
  </r>
  <r>
    <d v="2025-09-15T00:00:00"/>
    <x v="1"/>
    <x v="5"/>
    <m/>
    <x v="40"/>
    <s v="TO/CHQ BOOK ISSUE CHARGES"/>
    <n v="8.8500000000000002E-3"/>
    <n v="0"/>
  </r>
  <r>
    <d v="2025-09-15T00:00:00"/>
    <x v="1"/>
    <x v="2"/>
    <m/>
    <x v="3"/>
    <s v="RTGS/SAMVARDHANA /TMBLR52025091500595684 (Ref# 1544127)"/>
    <n v="11"/>
    <n v="0"/>
  </r>
  <r>
    <d v="2025-09-15T00:00:00"/>
    <x v="1"/>
    <x v="2"/>
    <m/>
    <x v="9"/>
    <s v="NEFT/SARAVANAN M/TMBLH25258602849 (Ref# 1544128)"/>
    <n v="0.4"/>
    <n v="0"/>
  </r>
  <r>
    <d v="2025-09-15T00:00:00"/>
    <x v="1"/>
    <x v="2"/>
    <m/>
    <x v="10"/>
    <s v="NEFT/KANNAN D/TMBLH25258602956 (Ref# 1544129)"/>
    <n v="0.2"/>
    <n v="0"/>
  </r>
  <r>
    <d v="2025-09-15T00:00:00"/>
    <x v="1"/>
    <x v="4"/>
    <m/>
    <x v="36"/>
    <s v="IMPS/UTHIRIYA PRADEE/525821864538/IOBA/Loan Repaym"/>
    <n v="0"/>
    <n v="2"/>
  </r>
  <r>
    <d v="2025-09-16T00:00:00"/>
    <x v="1"/>
    <x v="4"/>
    <m/>
    <x v="36"/>
    <s v="IMPS/UTHIRIYA PRADEE/525911892191/IOBA/Loan Repaym"/>
    <n v="0"/>
    <n v="2"/>
  </r>
  <r>
    <d v="2025-09-16T00:00:00"/>
    <x v="1"/>
    <x v="0"/>
    <m/>
    <x v="41"/>
    <s v="RTGS/Viknesh Karm/IDIBR52025091647523690"/>
    <n v="0"/>
    <n v="9.8800000000000008"/>
  </r>
  <r>
    <d v="2025-09-16T00:00:00"/>
    <x v="1"/>
    <x v="0"/>
    <m/>
    <x v="42"/>
    <s v="RTGS/Infant Raj R/IDIBR52025091647523755"/>
    <n v="0"/>
    <n v="8.1"/>
  </r>
  <r>
    <d v="2025-09-16T00:00:00"/>
    <x v="1"/>
    <x v="0"/>
    <m/>
    <x v="2"/>
    <s v="RTGS/MTC BUSINESS/HDFCR52025091661427956"/>
    <n v="0"/>
    <n v="8.26586"/>
  </r>
  <r>
    <d v="2025-09-16T00:00:00"/>
    <x v="1"/>
    <x v="0"/>
    <m/>
    <x v="43"/>
    <s v="RTGS/S. Anandh/IDIBR52025091647524467"/>
    <n v="0"/>
    <n v="9.1199999999999992"/>
  </r>
  <r>
    <d v="2025-09-16T00:00:00"/>
    <x v="1"/>
    <x v="0"/>
    <m/>
    <x v="0"/>
    <s v="RTGS/METAL AND SC/HDFCR52025091661368771"/>
    <n v="0"/>
    <n v="5.5"/>
  </r>
  <r>
    <d v="2025-09-16T00:00:00"/>
    <x v="1"/>
    <x v="2"/>
    <m/>
    <x v="15"/>
    <s v="RTGS/SMS And Assemblies/TMBLR52025091600696651"/>
    <n v="10"/>
    <n v="0"/>
  </r>
  <r>
    <d v="2025-09-16T00:00:00"/>
    <x v="1"/>
    <x v="1"/>
    <m/>
    <x v="1"/>
    <s v="TR/CHEPA/VEERA INDUSTRIES (Ref# 1544132)"/>
    <n v="25"/>
    <n v="0"/>
  </r>
  <r>
    <d v="2025-09-16T00:00:00"/>
    <x v="1"/>
    <x v="2"/>
    <m/>
    <x v="28"/>
    <s v="NEFT/TAMILSELVAN G/TMBLH25259725241 (Ref# 1544131)"/>
    <n v="0.1"/>
    <n v="0"/>
  </r>
  <r>
    <d v="2025-09-16T00:00:00"/>
    <x v="1"/>
    <x v="3"/>
    <n v="1544130"/>
    <x v="32"/>
    <s v="NEFT/A ARUL/TMBLH25259726393 (Ref# 1544130)"/>
    <n v="0.2"/>
    <n v="0"/>
  </r>
  <r>
    <d v="2025-09-16T00:00:00"/>
    <x v="1"/>
    <x v="2"/>
    <m/>
    <x v="3"/>
    <s v="RTGS/SAMVARDHANA /TMBLR52025091600727124 (Ref# 1544133)"/>
    <n v="5"/>
    <n v="0"/>
  </r>
  <r>
    <d v="2025-09-16T00:00:00"/>
    <x v="1"/>
    <x v="2"/>
    <m/>
    <x v="13"/>
    <s v="NEFT/SUNDARA SUBBAIAH/TMBLH25259727422 (Ref# 1544135)"/>
    <n v="0.35299999999999998"/>
    <n v="0"/>
  </r>
  <r>
    <d v="2025-09-16T00:00:00"/>
    <x v="1"/>
    <x v="1"/>
    <m/>
    <x v="1"/>
    <s v="TR/CHEPA/VEERA INDUSTRIES (Ref# 1544134)"/>
    <n v="1"/>
    <n v="0"/>
  </r>
  <r>
    <d v="2025-09-16T00:00:00"/>
    <x v="1"/>
    <x v="0"/>
    <m/>
    <x v="33"/>
    <s v="RTGS/SRI AMBAL TR/ICICR42025091600571827"/>
    <n v="0"/>
    <n v="4.7466799999999996"/>
  </r>
  <r>
    <d v="2025-09-17T00:00:00"/>
    <x v="1"/>
    <x v="4"/>
    <m/>
    <x v="36"/>
    <s v="IMPS/UTHIRIYA PRADEE/526011967129/IOBA/Loan Repaym"/>
    <n v="0"/>
    <n v="2"/>
  </r>
  <r>
    <d v="2025-09-17T00:00:00"/>
    <x v="1"/>
    <x v="0"/>
    <m/>
    <x v="41"/>
    <s v="NEFT/VIKNESH/SBIN125260556972"/>
    <n v="0"/>
    <n v="7.4"/>
  </r>
  <r>
    <d v="2025-09-17T00:00:00"/>
    <x v="1"/>
    <x v="1"/>
    <m/>
    <x v="1"/>
    <s v="TR/CHEPA/VEERA INDUSTRIES"/>
    <n v="0"/>
    <n v="6.5"/>
  </r>
  <r>
    <d v="2025-09-17T00:00:00"/>
    <x v="1"/>
    <x v="0"/>
    <m/>
    <x v="44"/>
    <s v="RTGS/MURUGANANTHA/IDIBR52025091747547366"/>
    <n v="0"/>
    <n v="7.18"/>
  </r>
  <r>
    <d v="2025-09-17T00:00:00"/>
    <x v="1"/>
    <x v="0"/>
    <m/>
    <x v="0"/>
    <s v="RTGS/METAL AND SC/HDFCR52025091761719035"/>
    <n v="0"/>
    <n v="2.5"/>
  </r>
  <r>
    <d v="2025-09-17T00:00:00"/>
    <x v="1"/>
    <x v="0"/>
    <m/>
    <x v="43"/>
    <s v="RTGS/S. Anandh/IDIBR52025091747547481"/>
    <n v="0"/>
    <n v="5.7"/>
  </r>
  <r>
    <d v="2025-09-17T00:00:00"/>
    <x v="1"/>
    <x v="0"/>
    <m/>
    <x v="42"/>
    <s v="RTGS/Infant Raj R/IDIBR52025091747547672"/>
    <n v="0"/>
    <n v="5.4"/>
  </r>
  <r>
    <d v="2025-09-17T00:00:00"/>
    <x v="1"/>
    <x v="0"/>
    <m/>
    <x v="2"/>
    <s v="RTGS/MTC BUSINESS/HDFCR52025091761901072"/>
    <n v="0"/>
    <n v="8.4412000000000003"/>
  </r>
  <r>
    <d v="2025-09-17T00:00:00"/>
    <x v="1"/>
    <x v="2"/>
    <m/>
    <x v="15"/>
    <s v="RTGS/SMS And Assemblies/TMBLR52025091700827588"/>
    <n v="10"/>
    <n v="0"/>
  </r>
  <r>
    <d v="2025-09-17T00:00:00"/>
    <x v="1"/>
    <x v="2"/>
    <m/>
    <x v="3"/>
    <s v="RTGS/SAMVARDHANA /TMBLR52025091700829772 (Ref# 1544136)"/>
    <n v="15"/>
    <n v="0"/>
  </r>
  <r>
    <d v="2025-09-17T00:00:00"/>
    <x v="1"/>
    <x v="0"/>
    <m/>
    <x v="45"/>
    <s v="RTGS/DHARMARAJ/SBINR52025091799042600"/>
    <n v="0"/>
    <n v="8.52"/>
  </r>
  <r>
    <d v="2025-09-17T00:00:00"/>
    <x v="1"/>
    <x v="4"/>
    <m/>
    <x v="35"/>
    <s v="RTGS/LATHA/CBINR52025091710013526"/>
    <n v="0"/>
    <n v="7.8"/>
  </r>
  <r>
    <d v="2025-09-18T00:00:00"/>
    <x v="1"/>
    <x v="0"/>
    <m/>
    <x v="33"/>
    <s v="IMPS/SRI AMBAL TRADE/526111218798/ICIC/AFFANMETAL"/>
    <n v="0"/>
    <n v="2"/>
  </r>
  <r>
    <d v="2025-09-18T00:00:00"/>
    <x v="1"/>
    <x v="2"/>
    <m/>
    <x v="3"/>
    <s v="RTGS/SAMVARDHANA /TMBLR52025091800935322 (Ref# 1544137)"/>
    <n v="25"/>
    <n v="0"/>
  </r>
  <r>
    <d v="2025-09-18T00:00:00"/>
    <x v="1"/>
    <x v="0"/>
    <m/>
    <x v="2"/>
    <s v="RTGS/MTC BUSINESS/HDFCR52025091862277781"/>
    <n v="0"/>
    <n v="2.8559399999999999"/>
  </r>
  <r>
    <d v="2025-09-18T00:00:00"/>
    <x v="1"/>
    <x v="0"/>
    <m/>
    <x v="0"/>
    <s v="RTGS/METAL AND SC/HDFCR52025091862228867"/>
    <n v="0"/>
    <n v="2.8"/>
  </r>
  <r>
    <d v="2025-09-19T00:00:00"/>
    <x v="1"/>
    <x v="0"/>
    <m/>
    <x v="33"/>
    <s v="IMPS/SRI AMBAL TRADE/526210215058/ICIC/AFFANMETAL"/>
    <n v="0"/>
    <n v="3"/>
  </r>
  <r>
    <d v="2025-09-19T00:00:00"/>
    <x v="1"/>
    <x v="2"/>
    <m/>
    <x v="15"/>
    <s v="RTGS/SMS And Assemblies/TMBLR52025091900044788"/>
    <n v="15"/>
    <n v="0"/>
  </r>
  <r>
    <d v="2025-09-19T00:00:00"/>
    <x v="1"/>
    <x v="2"/>
    <m/>
    <x v="6"/>
    <s v="TR/CHEPA/K S SENTERPRISES (Ref# 1544139)"/>
    <n v="0.1"/>
    <n v="0"/>
  </r>
  <r>
    <d v="2025-09-19T00:00:00"/>
    <x v="1"/>
    <x v="1"/>
    <m/>
    <x v="1"/>
    <s v="TR/CHEPA/VEERA INDUSTRIES (Ref# 1544138)"/>
    <n v="1"/>
    <n v="0"/>
  </r>
  <r>
    <d v="2025-09-19T00:00:00"/>
    <x v="1"/>
    <x v="0"/>
    <m/>
    <x v="2"/>
    <s v="RTGS/MTC BUSINESS/HDFCR52025091962616422"/>
    <n v="0"/>
    <n v="3.3371200000000001"/>
  </r>
  <r>
    <d v="2025-09-19T00:00:00"/>
    <x v="1"/>
    <x v="0"/>
    <m/>
    <x v="0"/>
    <s v="NEFT/METAL AND SCRAP TR/HDFCH00494340918"/>
    <n v="0"/>
    <n v="0.37297000000000002"/>
  </r>
  <r>
    <d v="2025-09-19T00:00:00"/>
    <x v="1"/>
    <x v="1"/>
    <m/>
    <x v="1"/>
    <s v="TR/CHEPA/VEERA INDUSTRIES (Ref# 1544140)"/>
    <n v="0.5"/>
    <n v="0"/>
  </r>
  <r>
    <d v="2025-09-20T00:00:00"/>
    <x v="1"/>
    <x v="0"/>
    <m/>
    <x v="0"/>
    <s v="RTGS/METAL AND SC/HDFCR52025092063042043"/>
    <n v="0"/>
    <n v="4"/>
  </r>
  <r>
    <d v="2025-09-20T00:00:00"/>
    <x v="1"/>
    <x v="0"/>
    <m/>
    <x v="2"/>
    <s v="RTGS/MTC BUSINESS/HDFCR52025092063070455"/>
    <n v="0"/>
    <n v="5.3826499999999999"/>
  </r>
  <r>
    <d v="2025-09-20T00:00:00"/>
    <x v="1"/>
    <x v="1"/>
    <m/>
    <x v="1"/>
    <s v="TR/CHEPA/VEERA INDUSTRIES (Ref# 1544141)"/>
    <n v="2"/>
    <n v="0"/>
  </r>
  <r>
    <d v="2025-09-20T00:00:00"/>
    <x v="1"/>
    <x v="2"/>
    <m/>
    <x v="46"/>
    <s v="NEFT/SRI PACHAIYAMMAN B/TMBLH25263183760 (Ref# 1544142)"/>
    <n v="1"/>
    <n v="0"/>
  </r>
  <r>
    <d v="2025-09-21T00:00:00"/>
    <x v="1"/>
    <x v="4"/>
    <m/>
    <x v="36"/>
    <s v="IMPS/UTHIRIYA PRADEE/526418274170/IOBA/Loan Repaym"/>
    <n v="0"/>
    <n v="0.9"/>
  </r>
  <r>
    <d v="2025-09-22T00:00:00"/>
    <x v="1"/>
    <x v="2"/>
    <m/>
    <x v="15"/>
    <s v="RTGS/SMS And Assemblies/TMBLR52025092200328183"/>
    <n v="15"/>
    <n v="0"/>
  </r>
  <r>
    <d v="2025-09-22T00:00:00"/>
    <x v="1"/>
    <x v="0"/>
    <m/>
    <x v="0"/>
    <s v="NEFT/METAL AND SCRAP TR/HDFCH00497849020"/>
    <n v="0"/>
    <n v="0.91047"/>
  </r>
  <r>
    <d v="2025-09-22T00:00:00"/>
    <x v="1"/>
    <x v="1"/>
    <m/>
    <x v="1"/>
    <s v="TR/CHEPA/VEERA INDUSTRIES (Ref# 1544143)"/>
    <n v="1"/>
    <n v="0"/>
  </r>
  <r>
    <d v="2025-09-22T00:00:00"/>
    <x v="1"/>
    <x v="0"/>
    <m/>
    <x v="33"/>
    <s v="IMPS/SRI AMBAL TRADE/526517056390/ICIC/AFFANMETAL"/>
    <n v="0"/>
    <n v="3"/>
  </r>
  <r>
    <d v="2025-09-23T00:00:00"/>
    <x v="1"/>
    <x v="7"/>
    <m/>
    <x v="34"/>
    <s v="Loan Coll. To -210700850100063"/>
    <n v="0.12615999999999999"/>
    <n v="0"/>
  </r>
  <r>
    <d v="2025-09-23T00:00:00"/>
    <x v="1"/>
    <x v="2"/>
    <m/>
    <x v="6"/>
    <s v="TR/CHEPA/K S S ENTERPRISES (Ref# 1544145)"/>
    <n v="0.28999999999999998"/>
    <n v="0"/>
  </r>
  <r>
    <d v="2025-09-23T00:00:00"/>
    <x v="1"/>
    <x v="2"/>
    <m/>
    <x v="3"/>
    <s v="RTGS/SAMVARDHANA /TMBLR52025092300460343 (Ref# 1544144)"/>
    <n v="12"/>
    <n v="0"/>
  </r>
  <r>
    <d v="2025-09-23T00:00:00"/>
    <x v="1"/>
    <x v="0"/>
    <m/>
    <x v="0"/>
    <s v="RTGS/METAL AND SC/HDFCR52025092364074115"/>
    <n v="0"/>
    <n v="2.8"/>
  </r>
  <r>
    <d v="2025-09-23T00:00:00"/>
    <x v="1"/>
    <x v="2"/>
    <m/>
    <x v="13"/>
    <s v="eBank/622227701/EB Mr.Xavier"/>
    <n v="0.1624854"/>
    <n v="0"/>
  </r>
  <r>
    <d v="2025-09-23T00:00:00"/>
    <x v="1"/>
    <x v="2"/>
    <m/>
    <x v="8"/>
    <s v="NEFT/RAMAJAYAM/TMBLH25266466790"/>
    <n v="1"/>
    <n v="0"/>
  </r>
  <r>
    <d v="2025-09-23T00:00:00"/>
    <x v="1"/>
    <x v="0"/>
    <m/>
    <x v="2"/>
    <s v="RTGS/MTC BUSINESS/HDFCR52025092364103877"/>
    <n v="0"/>
    <n v="5.3729100000000001"/>
  </r>
  <r>
    <d v="2025-09-23T00:00:00"/>
    <x v="1"/>
    <x v="0"/>
    <m/>
    <x v="33"/>
    <s v="NEFT/SRI AMBAL TRADERS/ICIN426655353108"/>
    <n v="0"/>
    <n v="3.5"/>
  </r>
  <r>
    <d v="2025-09-24T00:00:00"/>
    <x v="1"/>
    <x v="1"/>
    <m/>
    <x v="1"/>
    <s v="TR/CHEPA/VEERA INDUSTRIES"/>
    <n v="0"/>
    <n v="10"/>
  </r>
  <r>
    <d v="2025-09-24T00:00:00"/>
    <x v="1"/>
    <x v="2"/>
    <m/>
    <x v="3"/>
    <s v="RTGS/SAMVARDHANA /TMBLR52025092400583375 (Ref# 1544146)"/>
    <n v="20"/>
    <n v="0"/>
  </r>
  <r>
    <d v="2025-09-24T00:00:00"/>
    <x v="1"/>
    <x v="0"/>
    <m/>
    <x v="0"/>
    <s v="NEFT/METAL AND SCRAP TR/HDFCH00501989914"/>
    <n v="0"/>
    <n v="0.28847"/>
  </r>
  <r>
    <d v="2025-09-24T00:00:00"/>
    <x v="1"/>
    <x v="0"/>
    <m/>
    <x v="2"/>
    <s v="RTGS/MTC BUSINESS/HDFCR52025092464630822"/>
    <n v="0"/>
    <n v="6.8184100000000001"/>
  </r>
  <r>
    <d v="2025-09-24T00:00:00"/>
    <x v="1"/>
    <x v="0"/>
    <m/>
    <x v="0"/>
    <s v="RTGS/METAL AND SC/HDFCR52025092464575889"/>
    <n v="0"/>
    <n v="3"/>
  </r>
  <r>
    <d v="2025-09-25T00:00:00"/>
    <x v="1"/>
    <x v="1"/>
    <m/>
    <x v="1"/>
    <s v="eBank/Tr From VEERA INDUSTRIES / trf"/>
    <n v="0"/>
    <n v="5"/>
  </r>
  <r>
    <d v="2025-09-25T00:00:00"/>
    <x v="1"/>
    <x v="2"/>
    <m/>
    <x v="15"/>
    <s v="RTGS/SMS And Assemblies/TMBLR52025092500685259"/>
    <n v="15"/>
    <n v="0"/>
  </r>
  <r>
    <d v="2025-09-25T00:00:00"/>
    <x v="1"/>
    <x v="0"/>
    <m/>
    <x v="0"/>
    <s v="NEFT/METAL AND SCRAP TR/HDFCH00503845693"/>
    <n v="0"/>
    <n v="0.46024999999999999"/>
  </r>
  <r>
    <d v="2025-09-25T00:00:00"/>
    <x v="1"/>
    <x v="0"/>
    <m/>
    <x v="26"/>
    <s v="RTGS/SRISAIENTERP/HDFCR52025092565227848"/>
    <n v="0"/>
    <n v="25"/>
  </r>
  <r>
    <d v="2025-09-25T00:00:00"/>
    <x v="1"/>
    <x v="0"/>
    <m/>
    <x v="33"/>
    <s v="IMPS/SRI AMBAL TRADE/526820389921/ICIC/AFFANMETAL"/>
    <n v="0"/>
    <n v="4"/>
  </r>
  <r>
    <d v="2025-09-26T00:00:00"/>
    <x v="1"/>
    <x v="0"/>
    <m/>
    <x v="47"/>
    <s v="RTGS/M S A ENTERP/SBINR12025092600058536"/>
    <n v="0"/>
    <n v="3"/>
  </r>
  <r>
    <d v="2025-09-26T00:00:00"/>
    <x v="1"/>
    <x v="0"/>
    <m/>
    <x v="0"/>
    <s v="RTGS/METAL AND SC/HDFCR52025092665396729"/>
    <n v="0"/>
    <n v="3.5"/>
  </r>
  <r>
    <d v="2025-09-26T00:00:00"/>
    <x v="1"/>
    <x v="0"/>
    <m/>
    <x v="2"/>
    <s v="RTGS/MTC BUSINESS/HDFCR52025092665483496"/>
    <n v="0"/>
    <n v="19.866900000000001"/>
  </r>
  <r>
    <d v="2025-09-26T00:00:00"/>
    <x v="1"/>
    <x v="2"/>
    <m/>
    <x v="6"/>
    <s v="TR/CHEPA/K S S ENTERPRISES (Ref# 1544147)"/>
    <n v="0.5"/>
    <n v="0"/>
  </r>
  <r>
    <d v="2025-09-26T00:00:00"/>
    <x v="1"/>
    <x v="2"/>
    <m/>
    <x v="3"/>
    <s v="RTGS/SAMVARDHANA /TMBLR52025092600823908 (Ref# 1544149)"/>
    <n v="15"/>
    <n v="0"/>
  </r>
  <r>
    <d v="2025-09-27T00:00:00"/>
    <x v="1"/>
    <x v="0"/>
    <m/>
    <x v="2"/>
    <s v="RTGS/MTC BUSINESS/HDFCR52025092765880690"/>
    <n v="0"/>
    <n v="5.9203299999999999"/>
  </r>
  <r>
    <d v="2025-09-27T00:00:00"/>
    <x v="1"/>
    <x v="0"/>
    <m/>
    <x v="33"/>
    <s v="RTGS/SRI AMBAL TR/ICICR42025092700537904"/>
    <n v="0"/>
    <n v="5"/>
  </r>
  <r>
    <d v="2025-09-29T00:00:00"/>
    <x v="1"/>
    <x v="0"/>
    <m/>
    <x v="33"/>
    <s v="IMPS/SRI AMBAL TRADE/527208146980/ICIC/AFFANMETAL"/>
    <n v="0"/>
    <n v="3"/>
  </r>
  <r>
    <d v="2025-09-29T00:00:00"/>
    <x v="1"/>
    <x v="6"/>
    <m/>
    <x v="24"/>
    <s v="CS/CHEPA/SELF (Ref# 1544170)"/>
    <n v="2"/>
    <n v="0"/>
  </r>
  <r>
    <d v="2025-09-29T00:00:00"/>
    <x v="1"/>
    <x v="1"/>
    <m/>
    <x v="1"/>
    <s v="TR/CHEPA/VERA INDUSTRIES (Ref# 1544150)"/>
    <n v="10"/>
    <n v="0"/>
  </r>
  <r>
    <d v="2025-09-29T00:00:00"/>
    <x v="1"/>
    <x v="0"/>
    <m/>
    <x v="0"/>
    <s v="RTGS/METAL AND SC/HDFCR52025092966263180"/>
    <n v="0"/>
    <n v="6"/>
  </r>
  <r>
    <d v="2025-09-29T00:00:00"/>
    <x v="1"/>
    <x v="2"/>
    <m/>
    <x v="3"/>
    <s v="RTGS/SAMVARDHANA /TMBLR52025092900095711 (Ref# 1544151)"/>
    <n v="15"/>
    <n v="0"/>
  </r>
  <r>
    <d v="2025-09-30T00:00:00"/>
    <x v="1"/>
    <x v="2"/>
    <m/>
    <x v="15"/>
    <s v="RTGS/SMS And Assemblies/TMBLR52025093000204243"/>
    <n v="25"/>
    <n v="0"/>
  </r>
  <r>
    <d v="2025-09-30T00:00:00"/>
    <x v="1"/>
    <x v="0"/>
    <m/>
    <x v="2"/>
    <s v="RTGS/MTC BUSINESS/HDFCR52025093066714509"/>
    <n v="0"/>
    <n v="14.961539999999999"/>
  </r>
  <r>
    <d v="2025-09-30T00:00:00"/>
    <x v="1"/>
    <x v="1"/>
    <m/>
    <x v="1"/>
    <s v="TR/CHEPA/VEERA INDUSTRIES (Ref# 1544153)"/>
    <n v="5"/>
    <n v="0"/>
  </r>
  <r>
    <d v="2025-09-30T00:00:00"/>
    <x v="1"/>
    <x v="6"/>
    <m/>
    <x v="24"/>
    <s v="CS/CHEPA/SELF (Ref# 1544169)"/>
    <n v="2"/>
    <n v="0"/>
  </r>
  <r>
    <d v="2025-09-30T00:00:00"/>
    <x v="1"/>
    <x v="0"/>
    <m/>
    <x v="0"/>
    <s v="RTGS/METAL AND SC/HDFCR52025093066753983"/>
    <n v="0"/>
    <n v="5.5"/>
  </r>
  <r>
    <d v="2025-09-30T00:00:00"/>
    <x v="1"/>
    <x v="2"/>
    <m/>
    <x v="3"/>
    <s v="RTGS/SAMVARDHANA /TMBLR52025093000261072 (Ref# 1544154)"/>
    <n v="20.968219999999999"/>
    <n v="0"/>
  </r>
  <r>
    <d v="2025-09-30T00:00:00"/>
    <x v="1"/>
    <x v="0"/>
    <m/>
    <x v="33"/>
    <s v="IMPS/SRI AMBAL TRADE/527317084144/ICIC/AFFANMETAL"/>
    <n v="0"/>
    <n v="3"/>
  </r>
  <r>
    <d v="2025-10-03T00:00:00"/>
    <x v="2"/>
    <x v="0"/>
    <m/>
    <x v="2"/>
    <s v="RTGS/MTC BUSINESS/HDFCR52025100367708180"/>
    <n v="0"/>
    <n v="6.6956800000000003"/>
  </r>
  <r>
    <d v="2025-10-03T00:00:00"/>
    <x v="2"/>
    <x v="3"/>
    <n v="1544156"/>
    <x v="4"/>
    <s v="TR/CHEPA/ILAKKIA (Ref# 1544156)"/>
    <n v="1.1299999999999999"/>
    <n v="0"/>
  </r>
  <r>
    <d v="2025-10-03T00:00:00"/>
    <x v="2"/>
    <x v="1"/>
    <m/>
    <x v="1"/>
    <s v="TR/CHEPA/VEERA INDUSTRIES"/>
    <n v="0"/>
    <n v="6"/>
  </r>
  <r>
    <d v="2025-10-03T00:00:00"/>
    <x v="2"/>
    <x v="2"/>
    <m/>
    <x v="3"/>
    <s v="RTGS/SAMVAEDHANA /TMBLR52025100300610248 (Ref# 1544155)"/>
    <n v="13.34845"/>
    <n v="0"/>
  </r>
  <r>
    <d v="2025-10-04T00:00:00"/>
    <x v="2"/>
    <x v="0"/>
    <m/>
    <x v="0"/>
    <s v="NEFT/METAL AND SCRAP TR/HDFCH00523318694"/>
    <n v="0"/>
    <n v="0.51380000000000003"/>
  </r>
  <r>
    <d v="2025-10-04T00:00:00"/>
    <x v="2"/>
    <x v="0"/>
    <m/>
    <x v="2"/>
    <s v="RTGS/MTC BUSINESS/HDFCR52025100468266197"/>
    <n v="0"/>
    <n v="4.5897699999999997"/>
  </r>
  <r>
    <d v="2025-10-06T00:00:00"/>
    <x v="2"/>
    <x v="0"/>
    <m/>
    <x v="33"/>
    <s v="IMPS/SRI AMBAL TRADE/527911772406/ICIC/AFFANMETAL"/>
    <n v="0"/>
    <n v="3"/>
  </r>
  <r>
    <d v="2025-10-06T00:00:00"/>
    <x v="2"/>
    <x v="1"/>
    <m/>
    <x v="1"/>
    <s v="TR/CHEPA/VEERA INDUSTRIES"/>
    <n v="0"/>
    <n v="1.5"/>
  </r>
  <r>
    <d v="2025-10-06T00:00:00"/>
    <x v="2"/>
    <x v="2"/>
    <m/>
    <x v="3"/>
    <s v="RTGS/SAMVARDHANA /TMBLR52025100600943408 (Ref# 1544157)"/>
    <n v="10"/>
    <n v="0"/>
  </r>
  <r>
    <d v="2025-10-06T00:00:00"/>
    <x v="2"/>
    <x v="0"/>
    <m/>
    <x v="2"/>
    <s v="RTGS/MTC BUSINESS/HDFCR52025100668762155"/>
    <n v="0"/>
    <n v="3.3215400000000002"/>
  </r>
  <r>
    <d v="2025-10-07T00:00:00"/>
    <x v="2"/>
    <x v="0"/>
    <m/>
    <x v="2"/>
    <s v="RTGS/MTC BUSINESS/HDFCR52025100769126493"/>
    <n v="0"/>
    <n v="8.3730100000000007"/>
  </r>
  <r>
    <d v="2025-10-07T00:00:00"/>
    <x v="2"/>
    <x v="5"/>
    <m/>
    <x v="20"/>
    <s v="TIN/25100600547294/TAX (Ref# 1544158)"/>
    <n v="3.6406100000000001"/>
    <n v="0"/>
  </r>
  <r>
    <d v="2025-10-07T00:00:00"/>
    <x v="2"/>
    <x v="2"/>
    <m/>
    <x v="9"/>
    <s v="NEFT/SARAVANAN M/TMBLH25280117206 (Ref# 1544160)"/>
    <n v="1.31558"/>
    <n v="0"/>
  </r>
  <r>
    <d v="2025-10-07T00:00:00"/>
    <x v="2"/>
    <x v="2"/>
    <m/>
    <x v="8"/>
    <s v="RTGS/RAMAJAYAM/TMBLR52025100700117305 (Ref# 1544159)"/>
    <n v="2.3289599999999999"/>
    <n v="0"/>
  </r>
  <r>
    <d v="2025-10-07T00:00:00"/>
    <x v="2"/>
    <x v="2"/>
    <m/>
    <x v="3"/>
    <s v="RTGS/SAMVARDHANA /TMBLR52025100700120134 (Ref# 1544163)"/>
    <n v="5"/>
    <n v="0"/>
  </r>
  <r>
    <d v="2025-10-07T00:00:00"/>
    <x v="2"/>
    <x v="2"/>
    <m/>
    <x v="11"/>
    <s v="NEFT/PANDURANGAN/TMBLH25280120363 (Ref# 1544162)"/>
    <n v="0.94035000000000002"/>
    <n v="0"/>
  </r>
  <r>
    <d v="2025-10-07T00:00:00"/>
    <x v="2"/>
    <x v="2"/>
    <m/>
    <x v="10"/>
    <s v="NEFT/KANNAN/TMBLH25280120518 (Ref# 1544161)"/>
    <n v="0.70967999999999998"/>
    <n v="0"/>
  </r>
  <r>
    <d v="2025-10-08T00:00:00"/>
    <x v="2"/>
    <x v="1"/>
    <m/>
    <x v="1"/>
    <s v="TR/CHEPA/VEERA INDUSTRIES"/>
    <n v="0"/>
    <n v="0.2"/>
  </r>
  <r>
    <d v="2025-10-08T00:00:00"/>
    <x v="2"/>
    <x v="2"/>
    <m/>
    <x v="31"/>
    <s v="NEFT/RAJKANTH JAYARAM/TMBLH25281234131 (Ref# 1544164)"/>
    <n v="1"/>
    <n v="0"/>
  </r>
  <r>
    <d v="2025-10-08T00:00:00"/>
    <x v="2"/>
    <x v="0"/>
    <m/>
    <x v="2"/>
    <s v="RTGS/MTC BUSINESS/HDFCR52025100869685042"/>
    <n v="0"/>
    <n v="10.549049999999999"/>
  </r>
  <r>
    <d v="2025-10-08T00:00:00"/>
    <x v="2"/>
    <x v="2"/>
    <m/>
    <x v="30"/>
    <s v="NEFT/DHANALAKSHMI RAJKA/TMBLH25281253489 (Ref# 1544165)"/>
    <n v="1"/>
    <n v="0"/>
  </r>
  <r>
    <d v="2025-10-08T00:00:00"/>
    <x v="2"/>
    <x v="2"/>
    <m/>
    <x v="48"/>
    <s v="NEFT/VIHAAN N UG NAVANE/TMBLH25281256177 (Ref# 1544166)"/>
    <n v="0.4"/>
    <n v="0"/>
  </r>
  <r>
    <d v="2025-10-08T00:00:00"/>
    <x v="2"/>
    <x v="1"/>
    <m/>
    <x v="1"/>
    <s v="TR/CHEPA/VEERA INDUSTRIES"/>
    <n v="0"/>
    <n v="12"/>
  </r>
  <r>
    <d v="2025-10-08T00:00:00"/>
    <x v="2"/>
    <x v="2"/>
    <m/>
    <x v="3"/>
    <s v="RTGS/SAMVARDHANA /TMBLR52025100800268330 (Ref# 1544152)"/>
    <n v="20"/>
    <n v="0"/>
  </r>
  <r>
    <d v="2025-10-08T00:00:00"/>
    <x v="2"/>
    <x v="0"/>
    <m/>
    <x v="33"/>
    <s v="IMPS/SRI AMBAL TRADE/528118878315/ICIC/AFFANMETAL"/>
    <n v="0"/>
    <n v="5"/>
  </r>
  <r>
    <d v="2025-10-09T00:00:00"/>
    <x v="2"/>
    <x v="1"/>
    <m/>
    <x v="1"/>
    <s v="eBank/Tr From VEERA INDUSTRIES / trf"/>
    <n v="0"/>
    <n v="4"/>
  </r>
  <r>
    <d v="2025-10-09T00:00:00"/>
    <x v="2"/>
    <x v="2"/>
    <m/>
    <x v="15"/>
    <s v="RTGS/SMS And Assemblies/TMBLR52025100900376719"/>
    <n v="10"/>
    <n v="0"/>
  </r>
  <r>
    <d v="2025-10-09T00:00:00"/>
    <x v="2"/>
    <x v="0"/>
    <m/>
    <x v="2"/>
    <s v="RTGS/MTC BUSINESS/HDFCR52025100970147094"/>
    <n v="0"/>
    <n v="13.06798"/>
  </r>
  <r>
    <d v="2025-10-09T00:00:00"/>
    <x v="2"/>
    <x v="2"/>
    <m/>
    <x v="15"/>
    <s v="RTGS/SMS And Assemblies/TMBLR52025100900412566"/>
    <n v="10"/>
    <n v="0"/>
  </r>
  <r>
    <d v="2025-10-09T00:00:00"/>
    <x v="2"/>
    <x v="2"/>
    <m/>
    <x v="6"/>
    <s v="eBank/Tr To K S S ENTERPRISES / trf"/>
    <n v="0.66"/>
    <n v="0"/>
  </r>
  <r>
    <d v="2025-10-10T00:00:00"/>
    <x v="2"/>
    <x v="0"/>
    <m/>
    <x v="2"/>
    <s v="RTGS/MTC BUSINESS/HDFCR52025101070573231"/>
    <n v="0"/>
    <n v="11.28739"/>
  </r>
  <r>
    <d v="2025-10-10T00:00:00"/>
    <x v="2"/>
    <x v="0"/>
    <m/>
    <x v="33"/>
    <s v="IMPS/SRI AMBAL TRADE/528314247068/ICIC/AFFANMETAL"/>
    <n v="0"/>
    <n v="5"/>
  </r>
  <r>
    <d v="2025-10-10T00:00:00"/>
    <x v="2"/>
    <x v="1"/>
    <m/>
    <x v="1"/>
    <s v="eBank/Tr To VEERA INDUSTRIES / trf"/>
    <n v="1.5"/>
    <n v="0"/>
  </r>
  <r>
    <d v="2025-10-10T00:00:00"/>
    <x v="2"/>
    <x v="2"/>
    <m/>
    <x v="15"/>
    <s v="RTGS/SMS And Assemblies/TMBLR52025101000545952"/>
    <n v="10"/>
    <n v="0"/>
  </r>
  <r>
    <d v="2025-10-10T00:00:00"/>
    <x v="2"/>
    <x v="2"/>
    <m/>
    <x v="12"/>
    <s v="NEFT/vinod kumar/TMBLH25283546077"/>
    <n v="0.66"/>
    <n v="0"/>
  </r>
  <r>
    <d v="2025-10-10T00:00:00"/>
    <x v="2"/>
    <x v="3"/>
    <n v="1544173"/>
    <x v="14"/>
    <s v="NEFT/G PREETHI/TMBLH25283560549 (Ref# 1544173)"/>
    <n v="1"/>
    <n v="0"/>
  </r>
  <r>
    <d v="2025-10-10T00:00:00"/>
    <x v="2"/>
    <x v="8"/>
    <m/>
    <x v="49"/>
    <s v="RTGS-RET/TMBLR52025101000559644/GST/RETURNR11TMB"/>
    <n v="0"/>
    <n v="4.09422"/>
  </r>
  <r>
    <d v="2025-10-10T00:00:00"/>
    <x v="2"/>
    <x v="5"/>
    <m/>
    <x v="20"/>
    <s v="RTGS/GST/TMBLR52025101000571006 (Ref# 1544174)"/>
    <n v="4.09422"/>
    <n v="0"/>
  </r>
  <r>
    <d v="2025-10-12T00:00:00"/>
    <x v="2"/>
    <x v="7"/>
    <m/>
    <x v="25"/>
    <s v="Loan Coll. To -210700850100057"/>
    <n v="0.42004000000000002"/>
    <n v="0"/>
  </r>
  <r>
    <d v="2025-10-13T00:00:00"/>
    <x v="2"/>
    <x v="0"/>
    <m/>
    <x v="2"/>
    <s v="RTGS/MTC BUSINESS/HDFCR52025101371305603"/>
    <n v="0"/>
    <n v="12.07443"/>
  </r>
  <r>
    <d v="2025-10-13T00:00:00"/>
    <x v="2"/>
    <x v="2"/>
    <m/>
    <x v="15"/>
    <s v="RTGS/SMS And Assemblies/TMBLR52025101300835359"/>
    <n v="11"/>
    <n v="0"/>
  </r>
  <r>
    <d v="2025-10-13T00:00:00"/>
    <x v="2"/>
    <x v="1"/>
    <m/>
    <x v="1"/>
    <s v="eBank/Tr To VEERA INDUSTRIES / TRANSFER TO VEERA"/>
    <n v="1.5"/>
    <n v="0"/>
  </r>
  <r>
    <d v="2025-10-13T00:00:00"/>
    <x v="2"/>
    <x v="2"/>
    <m/>
    <x v="13"/>
    <s v="eBank/Tr To AMOUNT PAYABLE TO EASEBUZZ / SANJAY SC"/>
    <n v="0.30418970000000001"/>
    <n v="0"/>
  </r>
  <r>
    <d v="2025-10-14T00:00:00"/>
    <x v="2"/>
    <x v="1"/>
    <m/>
    <x v="1"/>
    <s v="TR/CHEPA/VEERA INDUSTRIES"/>
    <n v="0"/>
    <n v="16"/>
  </r>
  <r>
    <d v="2025-10-14T00:00:00"/>
    <x v="2"/>
    <x v="0"/>
    <m/>
    <x v="2"/>
    <s v="RTGS/MTC BUSINESS/HDFCR52025101471915484"/>
    <n v="0"/>
    <n v="13.120570000000001"/>
  </r>
  <r>
    <d v="2025-10-14T00:00:00"/>
    <x v="2"/>
    <x v="2"/>
    <m/>
    <x v="15"/>
    <s v="RTGS/SMS And Assemblies/TMBLR52025101400971751"/>
    <n v="12"/>
    <n v="0"/>
  </r>
  <r>
    <d v="2025-10-14T00:00:00"/>
    <x v="2"/>
    <x v="2"/>
    <m/>
    <x v="3"/>
    <s v="RTGS/SAMVARDHANA /TMBLR52025101400977686 (Ref# 1544175)"/>
    <n v="16"/>
    <n v="0"/>
  </r>
  <r>
    <d v="2025-10-14T00:00:00"/>
    <x v="2"/>
    <x v="0"/>
    <m/>
    <x v="33"/>
    <s v="IMPS/SRI AMBAL TRADE/528714330566/ICIC/AFFANMETAL"/>
    <n v="0"/>
    <n v="5"/>
  </r>
  <r>
    <d v="2025-10-14T00:00:00"/>
    <x v="2"/>
    <x v="2"/>
    <m/>
    <x v="13"/>
    <s v="NEFT/P T GOPINATH/TMBLH25287010972 (Ref# 1544176)"/>
    <n v="0.05"/>
    <n v="0"/>
  </r>
  <r>
    <d v="2025-10-15T00:00:00"/>
    <x v="2"/>
    <x v="1"/>
    <m/>
    <x v="1"/>
    <s v="eBank/Tr From VEERA INDUSTRIES / trf"/>
    <n v="0"/>
    <n v="5"/>
  </r>
  <r>
    <d v="2025-10-15T00:00:00"/>
    <x v="2"/>
    <x v="2"/>
    <m/>
    <x v="15"/>
    <s v="RTGS/SMS And Assemblies/TMBLR52025101500105085"/>
    <n v="11.5"/>
    <n v="0"/>
  </r>
  <r>
    <d v="2025-10-15T00:00:00"/>
    <x v="2"/>
    <x v="0"/>
    <m/>
    <x v="2"/>
    <s v="RTGS/MTC BUSINESS/HDFCR52025101572503155"/>
    <n v="0"/>
    <n v="8.1645599999999998"/>
  </r>
  <r>
    <d v="2025-10-15T00:00:00"/>
    <x v="2"/>
    <x v="2"/>
    <m/>
    <x v="15"/>
    <s v="RTGS/SMS And Assemblies/TMBLR52025101500122419"/>
    <n v="8"/>
    <n v="0"/>
  </r>
  <r>
    <d v="2025-10-15T00:00:00"/>
    <x v="2"/>
    <x v="0"/>
    <m/>
    <x v="33"/>
    <s v="RTGS/SRI AMBAL TR/ICICR42025101500600831"/>
    <n v="0"/>
    <n v="5"/>
  </r>
  <r>
    <d v="2025-10-16T00:00:00"/>
    <x v="2"/>
    <x v="0"/>
    <m/>
    <x v="33"/>
    <s v="IMPS/SRI AMBAL TRADE/528909057700/ICIC/AFFANMETAL"/>
    <n v="0"/>
    <n v="3"/>
  </r>
  <r>
    <d v="2025-10-16T00:00:00"/>
    <x v="2"/>
    <x v="2"/>
    <m/>
    <x v="15"/>
    <s v="RTGS/SMS And Assemblies/TMBLR52025101600248842"/>
    <n v="8"/>
    <n v="0"/>
  </r>
  <r>
    <d v="2025-10-17T00:00:00"/>
    <x v="2"/>
    <x v="0"/>
    <m/>
    <x v="33"/>
    <s v="IMPS/SRI AMBAL TRADE/529011621062/ICIC/AFFANMETAL"/>
    <n v="0"/>
    <n v="3"/>
  </r>
  <r>
    <d v="2025-10-17T00:00:00"/>
    <x v="2"/>
    <x v="0"/>
    <m/>
    <x v="2"/>
    <s v="RTGS/MTC BUSINESS/HDFCR52025101773624899"/>
    <n v="0"/>
    <n v="16.220030000000001"/>
  </r>
  <r>
    <d v="2025-10-17T00:00:00"/>
    <x v="2"/>
    <x v="2"/>
    <m/>
    <x v="15"/>
    <s v="RTGS/SMS And Assemblies/TMBLR52025101700427085"/>
    <n v="18"/>
    <n v="0"/>
  </r>
  <r>
    <d v="2025-10-18T00:00:00"/>
    <x v="2"/>
    <x v="2"/>
    <m/>
    <x v="50"/>
    <s v="NEFT/PRIYADHARSHINI SUR/TMBLH25291611335 (Ref# 1544177)"/>
    <n v="0.5"/>
    <n v="0"/>
  </r>
  <r>
    <d v="2025-10-22T00:00:00"/>
    <x v="2"/>
    <x v="0"/>
    <m/>
    <x v="47"/>
    <s v="RTGS/M S A ENTERP/SBINR12025102203123723"/>
    <n v="0"/>
    <n v="3"/>
  </r>
  <r>
    <d v="2025-10-22T00:00:00"/>
    <x v="2"/>
    <x v="2"/>
    <m/>
    <x v="6"/>
    <s v="TR/CHEPA/KSS ENTERPRISES (Ref# 1544178)"/>
    <n v="0.15"/>
    <n v="0"/>
  </r>
  <r>
    <d v="2025-10-22T00:00:00"/>
    <x v="2"/>
    <x v="0"/>
    <m/>
    <x v="33"/>
    <s v="IMPS/SRI AMBAL TRADE/529519789919/ICIC/AFFANMETAL"/>
    <n v="0"/>
    <n v="3"/>
  </r>
  <r>
    <d v="2025-10-23T00:00:00"/>
    <x v="2"/>
    <x v="7"/>
    <m/>
    <x v="34"/>
    <s v="Loan Coll. To -210700850100063"/>
    <n v="0.13242000000000001"/>
    <n v="0"/>
  </r>
  <r>
    <d v="2025-10-23T00:00:00"/>
    <x v="2"/>
    <x v="2"/>
    <m/>
    <x v="15"/>
    <s v="RTGS/SMS And Assemblies/TMBLR52025102300978934"/>
    <n v="6.5"/>
    <n v="0"/>
  </r>
  <r>
    <d v="2025-10-23T00:00:00"/>
    <x v="2"/>
    <x v="0"/>
    <m/>
    <x v="33"/>
    <s v="IMPS/SRI AMBAL TRADE/529612725310/ICIC/AFFANMETAL"/>
    <n v="0"/>
    <n v="4"/>
  </r>
  <r>
    <d v="2025-10-23T00:00:00"/>
    <x v="2"/>
    <x v="0"/>
    <m/>
    <x v="2"/>
    <s v="RTGS/MTC BUSINESS/HDFCR52025102375260331"/>
    <n v="0"/>
    <n v="12.631600000000001"/>
  </r>
  <r>
    <d v="2025-10-23T00:00:00"/>
    <x v="2"/>
    <x v="2"/>
    <m/>
    <x v="15"/>
    <s v="RTGS/SMS And Assemblies/TMBLR52025102300008009"/>
    <n v="13.5"/>
    <n v="0"/>
  </r>
  <r>
    <d v="2025-10-23T00:00:00"/>
    <x v="2"/>
    <x v="0"/>
    <m/>
    <x v="6"/>
    <s v="TR/CHEPA/K S SENTERPRISES"/>
    <n v="0"/>
    <n v="35"/>
  </r>
  <r>
    <d v="2025-10-23T00:00:00"/>
    <x v="2"/>
    <x v="2"/>
    <m/>
    <x v="3"/>
    <s v="RTGS/SAMVARDHANA /TMBLR52025102300011791 (Ref# 1544180)"/>
    <n v="30"/>
    <n v="0"/>
  </r>
  <r>
    <d v="2025-10-23T00:00:00"/>
    <x v="2"/>
    <x v="2"/>
    <m/>
    <x v="28"/>
    <s v="NEFT/TAMILSELVAN G/TMBLH25296015408 (Ref# 1544181)"/>
    <n v="0.1"/>
    <n v="0"/>
  </r>
  <r>
    <d v="2025-10-23T00:00:00"/>
    <x v="2"/>
    <x v="3"/>
    <n v="1544182"/>
    <x v="32"/>
    <s v="NEFT/A ARUL/TMBLH25296015735 (Ref# 1544182)"/>
    <n v="0.2"/>
    <n v="0"/>
  </r>
  <r>
    <d v="2025-10-24T00:00:00"/>
    <x v="2"/>
    <x v="0"/>
    <m/>
    <x v="2"/>
    <s v="RTGS/MTC BUSINESS/HDFCR52025102475551797"/>
    <n v="0"/>
    <n v="16.058330000000002"/>
  </r>
  <r>
    <d v="2025-10-24T00:00:00"/>
    <x v="2"/>
    <x v="2"/>
    <m/>
    <x v="3"/>
    <s v="RTGS/SAMVARDHANA /TMBLR52025102400106470 (Ref# 1544185)"/>
    <n v="14.834110000000001"/>
    <n v="0"/>
  </r>
  <r>
    <d v="2025-10-24T00:00:00"/>
    <x v="2"/>
    <x v="2"/>
    <m/>
    <x v="13"/>
    <s v="NEFT/P T GOPINATH/TMBLH25297118550 (Ref# 1544186)"/>
    <n v="0.27016000000000001"/>
    <n v="0"/>
  </r>
  <r>
    <d v="2025-10-27T00:00:00"/>
    <x v="2"/>
    <x v="0"/>
    <m/>
    <x v="2"/>
    <s v="RTGS/MTC BUSINESS/HDFCR52025102776074870"/>
    <n v="0"/>
    <n v="4.9443200000000003"/>
  </r>
  <r>
    <d v="2025-10-27T00:00:00"/>
    <x v="2"/>
    <x v="2"/>
    <m/>
    <x v="29"/>
    <s v="AROKIYATRADERS (Ref# 1544184)"/>
    <n v="3.4750000000000001"/>
    <n v="0"/>
  </r>
  <r>
    <d v="2025-10-27T00:00:00"/>
    <x v="2"/>
    <x v="2"/>
    <m/>
    <x v="15"/>
    <s v="RTGS/SMS And Assemblies/TMBLR52025102700342500"/>
    <n v="10"/>
    <n v="0"/>
  </r>
  <r>
    <d v="2025-10-27T00:00:00"/>
    <x v="2"/>
    <x v="0"/>
    <m/>
    <x v="2"/>
    <s v="RTGS/MTC BUSINESS/HDFCR52025102776365306"/>
    <n v="0"/>
    <n v="9.8321500000000004"/>
  </r>
  <r>
    <d v="2025-10-27T00:00:00"/>
    <x v="2"/>
    <x v="2"/>
    <m/>
    <x v="15"/>
    <s v="RTGS/SMS And Assemblies/TMBLR52025102700359693"/>
    <n v="8"/>
    <n v="0"/>
  </r>
  <r>
    <d v="2025-10-28T00:00:00"/>
    <x v="2"/>
    <x v="0"/>
    <m/>
    <x v="2"/>
    <s v="RTGS/MTC BUSINESS/HDFCR52025102876741771"/>
    <n v="0"/>
    <n v="9.0704399999999996"/>
  </r>
  <r>
    <d v="2025-10-28T00:00:00"/>
    <x v="2"/>
    <x v="2"/>
    <m/>
    <x v="3"/>
    <s v="RTGS/SAVARDHANA M/TMBLR52025102800472886 (Ref# 1544187)"/>
    <n v="11"/>
    <n v="0"/>
  </r>
  <r>
    <d v="2025-10-28T00:00:00"/>
    <x v="2"/>
    <x v="0"/>
    <m/>
    <x v="33"/>
    <s v="RTGS/SRI AMBAL TR/ICICR42025102800538193"/>
    <n v="0"/>
    <n v="7"/>
  </r>
  <r>
    <d v="2025-10-28T00:00:00"/>
    <x v="2"/>
    <x v="1"/>
    <m/>
    <x v="1"/>
    <s v="eBank/Tr From VEERA INDUSTRIES / TRANSFER TO AFFAN"/>
    <n v="0"/>
    <n v="1.5"/>
  </r>
  <r>
    <d v="2025-10-28T00:00:00"/>
    <x v="2"/>
    <x v="2"/>
    <m/>
    <x v="8"/>
    <s v="NEFT/RAMAJAYAM/TMBLH25301479481"/>
    <n v="1"/>
    <n v="0"/>
  </r>
  <r>
    <d v="2025-10-29T00:00:00"/>
    <x v="2"/>
    <x v="2"/>
    <m/>
    <x v="15"/>
    <s v="RTGS/SMS And Assemblies/TMBLR52025102900561788"/>
    <n v="7"/>
    <n v="0"/>
  </r>
  <r>
    <d v="2025-10-29T00:00:00"/>
    <x v="2"/>
    <x v="0"/>
    <m/>
    <x v="2"/>
    <s v="RTGS/MTC BUSINESS/HDFCR52025102977229918"/>
    <n v="0"/>
    <n v="11.143230000000001"/>
  </r>
  <r>
    <d v="2025-10-29T00:00:00"/>
    <x v="2"/>
    <x v="1"/>
    <m/>
    <x v="1"/>
    <s v="TR/CHEPA/VEERA INDUSTRIES (Ref# 1544190)"/>
    <n v="1.3"/>
    <n v="0"/>
  </r>
  <r>
    <d v="2025-10-29T00:00:00"/>
    <x v="2"/>
    <x v="2"/>
    <m/>
    <x v="6"/>
    <s v="TR/CHEPA/KSS ENTER (Ref# 1544189)"/>
    <n v="0.5"/>
    <n v="0"/>
  </r>
  <r>
    <d v="2025-10-29T00:00:00"/>
    <x v="2"/>
    <x v="2"/>
    <m/>
    <x v="3"/>
    <s v="RTGS/SAMVARDHANA /TMBLR52025102900607380 (Ref# 1544188)"/>
    <n v="9.5"/>
    <n v="0"/>
  </r>
  <r>
    <d v="2025-10-29T00:00:00"/>
    <x v="2"/>
    <x v="0"/>
    <m/>
    <x v="33"/>
    <s v="IMPS/SRI AMBAL TRADE/530218542846/ICIC/AFFANMETAL"/>
    <n v="0"/>
    <n v="3"/>
  </r>
  <r>
    <d v="2025-10-30T00:00:00"/>
    <x v="2"/>
    <x v="0"/>
    <m/>
    <x v="33"/>
    <s v="IMPS/SRI AMBAL TRADE/530310599539/ICIC/AFFANMETAL"/>
    <n v="0"/>
    <n v="2"/>
  </r>
  <r>
    <d v="2025-10-30T00:00:00"/>
    <x v="2"/>
    <x v="0"/>
    <m/>
    <x v="2"/>
    <s v="RTGS/MTC BUSINESS/HDFCR52025103077607484"/>
    <n v="0"/>
    <n v="5.9612400000000001"/>
  </r>
  <r>
    <d v="2025-10-30T00:00:00"/>
    <x v="2"/>
    <x v="2"/>
    <m/>
    <x v="3"/>
    <s v="RTGS/SAMVARDHANA /TMBLR52025103000695322 (Ref# 1544191)"/>
    <n v="10.5"/>
    <n v="0"/>
  </r>
  <r>
    <d v="2025-10-30T00:00:00"/>
    <x v="2"/>
    <x v="2"/>
    <m/>
    <x v="11"/>
    <s v="NEFT/PANDURANGAN/TMBLH25303701587"/>
    <n v="0.5"/>
    <n v="0"/>
  </r>
  <r>
    <d v="2025-10-30T00:00:00"/>
    <x v="2"/>
    <x v="0"/>
    <m/>
    <x v="2"/>
    <s v="RTGS/MTC BUSINESS/HDFCR52025103077804751"/>
    <n v="0"/>
    <n v="10"/>
  </r>
  <r>
    <d v="2025-10-30T00:00:00"/>
    <x v="2"/>
    <x v="9"/>
    <m/>
    <x v="51"/>
    <s v="eBank/628857381/i20 Insurance"/>
    <n v="0.22983390000000001"/>
    <n v="0"/>
  </r>
  <r>
    <d v="2025-10-31T00:00:00"/>
    <x v="2"/>
    <x v="2"/>
    <m/>
    <x v="3"/>
    <s v="RTGS/SAMVARDHANA /TMBLR52025103100796602 (Ref# 1544192)"/>
    <n v="10"/>
    <n v="0"/>
  </r>
  <r>
    <d v="2025-10-31T00:00:00"/>
    <x v="2"/>
    <x v="0"/>
    <m/>
    <x v="33"/>
    <s v="NEFT/SRI AMBAL TRADERS/ICIN430458799873"/>
    <n v="0"/>
    <n v="3"/>
  </r>
  <r>
    <d v="2025-10-31T00:00:00"/>
    <x v="2"/>
    <x v="6"/>
    <m/>
    <x v="24"/>
    <s v="CS/CHEPA/SELF (Ref# 1544220)"/>
    <n v="0.5"/>
    <n v="0"/>
  </r>
  <r>
    <d v="2025-11-01T00:00:00"/>
    <x v="3"/>
    <x v="1"/>
    <m/>
    <x v="1"/>
    <s v="eBank/Tr From VEERA INDUSTRIES / TRF"/>
    <n v="0"/>
    <n v="16.5"/>
  </r>
  <r>
    <d v="2025-11-01T00:00:00"/>
    <x v="3"/>
    <x v="2"/>
    <m/>
    <x v="15"/>
    <s v="RTGS/SMS And Assemblies/TMBLR52025110100939160"/>
    <n v="19"/>
    <n v="0"/>
  </r>
  <r>
    <d v="2025-11-02T00:00:00"/>
    <x v="3"/>
    <x v="0"/>
    <m/>
    <x v="33"/>
    <s v="IMPS/SRI AMBAL TRADE/530620289518/ICIC/AFFANMETAL"/>
    <n v="0"/>
    <n v="3"/>
  </r>
  <r>
    <d v="2025-11-03T00:00:00"/>
    <x v="3"/>
    <x v="3"/>
    <n v="1544193"/>
    <x v="4"/>
    <s v="TR/CHEPA/ILAKKIA (Ref# 1544193)"/>
    <n v="1.1299999999999999"/>
    <n v="0"/>
  </r>
  <r>
    <d v="2025-11-03T00:00:00"/>
    <x v="3"/>
    <x v="1"/>
    <m/>
    <x v="1"/>
    <s v="eBank/Tr From VEERA INDUSTRIES / TRF"/>
    <n v="0"/>
    <n v="7.5"/>
  </r>
  <r>
    <d v="2025-11-03T00:00:00"/>
    <x v="3"/>
    <x v="2"/>
    <m/>
    <x v="15"/>
    <s v="RTGS/SMS And Assemblies/TMBLR52025110300145377"/>
    <n v="9.5"/>
    <n v="0"/>
  </r>
  <r>
    <d v="2025-11-03T00:00:00"/>
    <x v="3"/>
    <x v="0"/>
    <m/>
    <x v="2"/>
    <s v="RTGS/MTC BUSINESS/HDFCR52025110379120580"/>
    <n v="0"/>
    <n v="5.8226800000000001"/>
  </r>
  <r>
    <d v="2025-11-03T00:00:00"/>
    <x v="3"/>
    <x v="2"/>
    <m/>
    <x v="15"/>
    <s v="RTGS/SMS And Assemblies/TMBLR52025110300153727"/>
    <n v="6"/>
    <n v="0"/>
  </r>
  <r>
    <d v="2025-11-04T00:00:00"/>
    <x v="3"/>
    <x v="0"/>
    <m/>
    <x v="2"/>
    <s v="RTGS/MTC BUSINESS/HDFCR52025110479492948"/>
    <n v="0"/>
    <n v="17.20129"/>
  </r>
  <r>
    <d v="2025-11-04T00:00:00"/>
    <x v="3"/>
    <x v="2"/>
    <m/>
    <x v="15"/>
    <s v="RTGS/SMS And Assemblies/TMBLR52025110400277669"/>
    <n v="14"/>
    <n v="0"/>
  </r>
  <r>
    <d v="2025-11-04T00:00:00"/>
    <x v="3"/>
    <x v="0"/>
    <m/>
    <x v="33"/>
    <s v="IMPS/SRI AMBAL TRADE/530817329207/ICIC/AFFANMETAL"/>
    <n v="0"/>
    <n v="3"/>
  </r>
  <r>
    <d v="2025-11-04T00:00:00"/>
    <x v="3"/>
    <x v="2"/>
    <m/>
    <x v="52"/>
    <s v="NEFT/SIVARAJANI CHENGUT/TMBLH25308316474 (Ref# 1544194)"/>
    <n v="0.5"/>
    <n v="0"/>
  </r>
  <r>
    <d v="2025-11-04T00:00:00"/>
    <x v="3"/>
    <x v="2"/>
    <m/>
    <x v="53"/>
    <s v="NEFT/NAVANEETHAN RAJKAN/TMBLH25308316630 (Ref# 1544195)"/>
    <n v="0.5"/>
    <n v="0"/>
  </r>
  <r>
    <d v="2025-11-04T00:00:00"/>
    <x v="3"/>
    <x v="2"/>
    <m/>
    <x v="48"/>
    <s v="NEFT/VIHAAN/TMBLH25308317250 (Ref# 1544196)"/>
    <n v="0.4"/>
    <n v="0"/>
  </r>
  <r>
    <d v="2025-11-04T00:00:00"/>
    <x v="3"/>
    <x v="2"/>
    <m/>
    <x v="30"/>
    <s v="NEFT/DHANALAKSHMI RAJKA/TMBLH25308317471 (Ref# 1544197)"/>
    <n v="1"/>
    <n v="0"/>
  </r>
  <r>
    <d v="2025-11-04T00:00:00"/>
    <x v="3"/>
    <x v="0"/>
    <m/>
    <x v="33"/>
    <s v="IMPS/SRI AMBAL TRADE/530817425077/ICIC/AFFANMETAL"/>
    <n v="0"/>
    <n v="2"/>
  </r>
  <r>
    <d v="2025-11-05T00:00:00"/>
    <x v="3"/>
    <x v="1"/>
    <m/>
    <x v="1"/>
    <s v="TR/CHEPA/VEERA INDUSTRIES (Ref# 1544198)"/>
    <n v="4.5"/>
    <n v="0"/>
  </r>
  <r>
    <d v="2025-11-05T00:00:00"/>
    <x v="3"/>
    <x v="0"/>
    <m/>
    <x v="2"/>
    <s v="RTGS/MTC BUSINESS/HDFCR52025110579964862"/>
    <n v="0"/>
    <n v="14.381180000000001"/>
  </r>
  <r>
    <d v="2025-11-05T00:00:00"/>
    <x v="3"/>
    <x v="2"/>
    <m/>
    <x v="15"/>
    <s v="NEFT/SMS And Assemblies A/TMBLH25309425877"/>
    <n v="3.40998"/>
    <n v="0"/>
  </r>
  <r>
    <d v="2025-11-05T00:00:00"/>
    <x v="3"/>
    <x v="2"/>
    <m/>
    <x v="15"/>
    <s v="RTGS/SMS And Assemblies/TMBLR52025110500425894"/>
    <n v="12"/>
    <n v="0"/>
  </r>
  <r>
    <d v="2025-11-05T00:00:00"/>
    <x v="3"/>
    <x v="1"/>
    <m/>
    <x v="1"/>
    <s v="eBank/Tr From VEERA INDUSTRIES / TRANSFER TO AFFAN"/>
    <n v="0"/>
    <n v="4.5"/>
  </r>
  <r>
    <d v="2025-11-05T00:00:00"/>
    <x v="3"/>
    <x v="2"/>
    <m/>
    <x v="8"/>
    <s v="NEFT/RAMAJAYAM/TMBLH25309440692"/>
    <n v="1.8757999999999999"/>
    <n v="0"/>
  </r>
  <r>
    <d v="2025-11-05T00:00:00"/>
    <x v="3"/>
    <x v="2"/>
    <m/>
    <x v="9"/>
    <s v="NEFT/SARAVANAN M/TMBLH25309440777"/>
    <n v="1.3656999999999999"/>
    <n v="0"/>
  </r>
  <r>
    <d v="2025-11-05T00:00:00"/>
    <x v="3"/>
    <x v="2"/>
    <m/>
    <x v="10"/>
    <s v="NEFT/KANNAN/TMBLH25309440974"/>
    <n v="0.71926000000000001"/>
    <n v="0"/>
  </r>
  <r>
    <d v="2025-11-05T00:00:00"/>
    <x v="3"/>
    <x v="2"/>
    <m/>
    <x v="11"/>
    <s v="NEFT/PANDURANGAN/TMBLH25309444246"/>
    <n v="0.46399000000000001"/>
    <n v="0"/>
  </r>
  <r>
    <d v="2025-11-06T00:00:00"/>
    <x v="3"/>
    <x v="0"/>
    <m/>
    <x v="54"/>
    <s v="CS/CHEPA/SELF"/>
    <n v="0"/>
    <n v="10"/>
  </r>
  <r>
    <d v="2025-11-06T00:00:00"/>
    <x v="3"/>
    <x v="1"/>
    <m/>
    <x v="1"/>
    <s v="TR/CHEPA/VEERA INDUSTRIES (Ref# 1544199)"/>
    <n v="10"/>
    <n v="0"/>
  </r>
  <r>
    <d v="2025-11-06T00:00:00"/>
    <x v="3"/>
    <x v="0"/>
    <m/>
    <x v="33"/>
    <s v="IMPS/SRI AMBAL TRADE/531012049311/ICIC/AFFANMETAL"/>
    <n v="0"/>
    <n v="4"/>
  </r>
  <r>
    <d v="2025-11-06T00:00:00"/>
    <x v="3"/>
    <x v="0"/>
    <m/>
    <x v="2"/>
    <s v="RTGS/MTC BUSINESS/HDFCR52025110680280476"/>
    <n v="0"/>
    <n v="11.59013"/>
  </r>
  <r>
    <d v="2025-11-06T00:00:00"/>
    <x v="3"/>
    <x v="2"/>
    <m/>
    <x v="3"/>
    <s v="RTGS/SAMVARDHANA /TMBLR52025110600604106 (Ref# 1544200)"/>
    <n v="12"/>
    <n v="0"/>
  </r>
  <r>
    <d v="2025-11-06T00:00:00"/>
    <x v="3"/>
    <x v="5"/>
    <m/>
    <x v="20"/>
    <s v="TIN/25110600311765/TAX (Ref# 1544203)"/>
    <n v="0.14083999999999999"/>
    <n v="0"/>
  </r>
  <r>
    <d v="2025-11-06T00:00:00"/>
    <x v="3"/>
    <x v="5"/>
    <m/>
    <x v="20"/>
    <s v="TIN/25110600307074/TAX (Ref# 1544201)"/>
    <n v="3.4005899999999998"/>
    <n v="0"/>
  </r>
  <r>
    <d v="2025-11-07T00:00:00"/>
    <x v="3"/>
    <x v="0"/>
    <m/>
    <x v="2"/>
    <s v="RTGS/MTC BUSINESS/HDFCR52025110780841436"/>
    <n v="0"/>
    <n v="9.4664199999999994"/>
  </r>
  <r>
    <d v="2025-11-07T00:00:00"/>
    <x v="3"/>
    <x v="1"/>
    <m/>
    <x v="1"/>
    <s v="eBank/Tr To VEERA INDUSTRIES / TRANSFER TO VEERA"/>
    <n v="1.65"/>
    <n v="0"/>
  </r>
  <r>
    <d v="2025-11-07T00:00:00"/>
    <x v="3"/>
    <x v="2"/>
    <m/>
    <x v="6"/>
    <s v="eBank/Tr To K S S ENTERPRISES / TRANSFER TO KSS"/>
    <n v="0.13"/>
    <n v="0"/>
  </r>
  <r>
    <d v="2025-11-07T00:00:00"/>
    <x v="3"/>
    <x v="0"/>
    <m/>
    <x v="33"/>
    <s v="IMPS/SRI AMBAL TRADE/531115828632/ICIC/AFFANMETAL"/>
    <n v="0"/>
    <n v="3"/>
  </r>
  <r>
    <d v="2025-11-07T00:00:00"/>
    <x v="3"/>
    <x v="5"/>
    <m/>
    <x v="20"/>
    <s v="eBank/GST/25113300046476"/>
    <n v="4.16"/>
    <n v="0"/>
  </r>
  <r>
    <d v="2025-11-07T00:00:00"/>
    <x v="3"/>
    <x v="0"/>
    <m/>
    <x v="26"/>
    <s v="RTGS/SRISAIENTERP/HDFCR52025110780877116"/>
    <n v="0"/>
    <n v="25"/>
  </r>
  <r>
    <d v="2025-11-08T00:00:00"/>
    <x v="3"/>
    <x v="0"/>
    <m/>
    <x v="2"/>
    <s v="RTGS/MTC BUSINESS/HDFCR52025110881190917"/>
    <n v="0"/>
    <n v="9.1621799999999993"/>
  </r>
  <r>
    <d v="2025-11-10T00:00:00"/>
    <x v="3"/>
    <x v="2"/>
    <m/>
    <x v="15"/>
    <s v="RTGS/SMS And Assemblies/TMBLR52025111000987466"/>
    <n v="30"/>
    <n v="0"/>
  </r>
  <r>
    <d v="2025-11-10T00:00:00"/>
    <x v="3"/>
    <x v="6"/>
    <m/>
    <x v="24"/>
    <s v="CS/210/SELF- AFFAN METALS (Ref# 1544219)"/>
    <n v="3.5"/>
    <n v="0"/>
  </r>
  <r>
    <d v="2025-11-10T00:00:00"/>
    <x v="3"/>
    <x v="2"/>
    <m/>
    <x v="6"/>
    <s v="TR/CHEPA/K S S ENTERPRISES (Ref# 1544208)"/>
    <n v="0.28999999999999998"/>
    <n v="0"/>
  </r>
  <r>
    <d v="2025-11-10T00:00:00"/>
    <x v="3"/>
    <x v="2"/>
    <m/>
    <x v="6"/>
    <s v="TR/CHEPA/K S S ENTERPRISES (Ref# 1544204)"/>
    <n v="0.57999999999999996"/>
    <n v="0"/>
  </r>
  <r>
    <d v="2025-11-10T00:00:00"/>
    <x v="3"/>
    <x v="1"/>
    <m/>
    <x v="1"/>
    <s v="TR/CHEPA/VEERA INDUSTRIES (Ref# 1544207)"/>
    <n v="0.5"/>
    <n v="0"/>
  </r>
  <r>
    <d v="2025-11-10T00:00:00"/>
    <x v="3"/>
    <x v="0"/>
    <m/>
    <x v="33"/>
    <s v="IMPS/SRI AMBAL TRADE/531415227584/ICIC/AFFANMETAL"/>
    <n v="0"/>
    <n v="4"/>
  </r>
  <r>
    <d v="2025-11-10T00:00:00"/>
    <x v="3"/>
    <x v="6"/>
    <m/>
    <x v="24"/>
    <s v="CS/CHEPA/SELF (Ref# 1544218)"/>
    <n v="1.5"/>
    <n v="0"/>
  </r>
  <r>
    <d v="2025-11-10T00:00:00"/>
    <x v="3"/>
    <x v="3"/>
    <n v="1544205"/>
    <x v="14"/>
    <s v="NEFT/G PREETHI/TMBLH25314051157 (Ref# 1544205)"/>
    <n v="1"/>
    <n v="0"/>
  </r>
  <r>
    <d v="2025-11-10T00:00:00"/>
    <x v="3"/>
    <x v="2"/>
    <m/>
    <x v="12"/>
    <s v="NEFT/VINOD KUMAR C/TMBLH25314056003 (Ref# 1544206)"/>
    <n v="0.66"/>
    <n v="0"/>
  </r>
  <r>
    <d v="2025-11-11T00:00:00"/>
    <x v="3"/>
    <x v="2"/>
    <m/>
    <x v="15"/>
    <s v="RTGS/SMS And Assemblies/TMBLR52025111100145005"/>
    <n v="7"/>
    <n v="0"/>
  </r>
  <r>
    <d v="2025-11-11T00:00:00"/>
    <x v="3"/>
    <x v="0"/>
    <m/>
    <x v="2"/>
    <s v="RTGS/MTC BUSINESS/HDFCR52025111182014922"/>
    <n v="0"/>
    <n v="15.054410000000001"/>
  </r>
  <r>
    <d v="2025-11-11T00:00:00"/>
    <x v="3"/>
    <x v="2"/>
    <m/>
    <x v="15"/>
    <s v="RTGS/SMS And Assemblies/TMBLR52025111100171328"/>
    <n v="14"/>
    <n v="0"/>
  </r>
  <r>
    <d v="2025-11-11T00:00:00"/>
    <x v="3"/>
    <x v="6"/>
    <m/>
    <x v="24"/>
    <s v="CS/CHEPA/SELF (Ref# 1544217)"/>
    <n v="0.5"/>
    <n v="0"/>
  </r>
  <r>
    <d v="2025-11-11T00:00:00"/>
    <x v="3"/>
    <x v="2"/>
    <m/>
    <x v="55"/>
    <s v="NEFT/PANKAJ ACHARYA/TMBLH25315188758 (Ref# 1544209)"/>
    <n v="0.625"/>
    <n v="0"/>
  </r>
  <r>
    <d v="2025-11-12T00:00:00"/>
    <x v="3"/>
    <x v="7"/>
    <m/>
    <x v="25"/>
    <s v="Loan Coll. To -210700850100057"/>
    <n v="0.1757204"/>
    <n v="0"/>
  </r>
  <r>
    <d v="2025-11-12T00:00:00"/>
    <x v="3"/>
    <x v="0"/>
    <m/>
    <x v="33"/>
    <s v="IMPS/SRI AMBAL TRADE/531617515117/ICIC/AFFANMETAL"/>
    <n v="0"/>
    <n v="2.5"/>
  </r>
  <r>
    <d v="2025-11-12T00:00:00"/>
    <x v="3"/>
    <x v="1"/>
    <m/>
    <x v="1"/>
    <s v="eBank/Tr From VEERA INDUSTRIES / trf"/>
    <n v="0"/>
    <n v="10"/>
  </r>
  <r>
    <d v="2025-11-12T00:00:00"/>
    <x v="3"/>
    <x v="2"/>
    <m/>
    <x v="15"/>
    <s v="RTGS/SMS And Assemblies/TMBLR52025111200336941"/>
    <n v="12"/>
    <n v="0"/>
  </r>
  <r>
    <d v="2025-11-12T00:00:00"/>
    <x v="3"/>
    <x v="7"/>
    <m/>
    <x v="25"/>
    <s v="Loan Coll. To -210700850100057"/>
    <n v="0.2443196"/>
    <n v="0"/>
  </r>
  <r>
    <d v="2025-11-13T00:00:00"/>
    <x v="3"/>
    <x v="1"/>
    <m/>
    <x v="1"/>
    <s v="eBank/Tr From VEERA INDUSTRIES / TRANSFER TO AFFAN"/>
    <n v="0"/>
    <n v="8"/>
  </r>
  <r>
    <d v="2025-11-13T00:00:00"/>
    <x v="3"/>
    <x v="2"/>
    <m/>
    <x v="15"/>
    <s v="RTGS/SMS And Assemblies/TMBLR52025111300402110"/>
    <n v="8"/>
    <n v="0"/>
  </r>
  <r>
    <d v="2025-11-13T00:00:00"/>
    <x v="3"/>
    <x v="1"/>
    <m/>
    <x v="1"/>
    <s v="eBank/Tr From VEERA INDUSTRIES / TRANSFER TO AFFAN"/>
    <n v="0"/>
    <n v="3.7"/>
  </r>
  <r>
    <d v="2025-11-13T00:00:00"/>
    <x v="3"/>
    <x v="2"/>
    <m/>
    <x v="13"/>
    <s v="NEFT/suresh/TMBLH25317434927"/>
    <n v="0.38250000000000001"/>
    <n v="0"/>
  </r>
  <r>
    <d v="2025-11-13T00:00:00"/>
    <x v="3"/>
    <x v="2"/>
    <m/>
    <x v="11"/>
    <s v="NEFT/PANDURANGAN/TMBLH25317434973"/>
    <n v="0.15"/>
    <n v="0"/>
  </r>
  <r>
    <d v="2025-11-13T00:00:00"/>
    <x v="3"/>
    <x v="2"/>
    <m/>
    <x v="13"/>
    <s v="eBank/631537391/SANTHOSH COLLEGE FEES"/>
    <n v="0.44737080000000001"/>
    <n v="0"/>
  </r>
  <r>
    <d v="2025-11-14T00:00:00"/>
    <x v="3"/>
    <x v="0"/>
    <m/>
    <x v="33"/>
    <s v="NEFT/SRI AMBAL TRADERS/IN42531851386431"/>
    <n v="0"/>
    <n v="2.5"/>
  </r>
  <r>
    <d v="2025-11-14T00:00:00"/>
    <x v="3"/>
    <x v="2"/>
    <m/>
    <x v="56"/>
    <s v="NEFT/SARALA B/TMBLH25318541148 (Ref# 1544210)"/>
    <n v="0.5"/>
    <n v="0"/>
  </r>
  <r>
    <d v="2025-11-14T00:00:00"/>
    <x v="3"/>
    <x v="0"/>
    <m/>
    <x v="2"/>
    <s v="RTGS/MTC BUSINESS/HDFCR52025111483376350"/>
    <n v="0"/>
    <n v="20.570329999999998"/>
  </r>
  <r>
    <d v="2025-11-14T00:00:00"/>
    <x v="3"/>
    <x v="2"/>
    <m/>
    <x v="3"/>
    <s v="RTGS/SAMVARDHANA /TMBLR52025111400559558 (Ref# 1544211)"/>
    <n v="25"/>
    <n v="0"/>
  </r>
  <r>
    <d v="2025-11-14T00:00:00"/>
    <x v="3"/>
    <x v="6"/>
    <m/>
    <x v="24"/>
    <s v="CS/CHEPA/SELF (Ref# 1544216)"/>
    <n v="0.3"/>
    <n v="0"/>
  </r>
  <r>
    <d v="2025-11-15T00:00:00"/>
    <x v="3"/>
    <x v="0"/>
    <m/>
    <x v="6"/>
    <s v="TR/CHEPA/K S S ENTERPRISES"/>
    <n v="0"/>
    <n v="20"/>
  </r>
  <r>
    <d v="2025-11-15T00:00:00"/>
    <x v="3"/>
    <x v="2"/>
    <m/>
    <x v="3"/>
    <s v="RTGS/SAMVARDHANA /TMBLR52025111500659164 (Ref# 1544212)"/>
    <n v="18.99098"/>
    <n v="0"/>
  </r>
  <r>
    <d v="2025-11-15T00:00:00"/>
    <x v="3"/>
    <x v="1"/>
    <m/>
    <x v="1"/>
    <s v="eBank/Tr From VEERA INDUSTRIES / TRANSFER TO AFFAN"/>
    <n v="0"/>
    <n v="5"/>
  </r>
  <r>
    <d v="2025-11-15T00:00:00"/>
    <x v="3"/>
    <x v="2"/>
    <m/>
    <x v="57"/>
    <s v="NEFT/VICTORY SCALES/TMBLH25319685092 (Ref# 1544213)"/>
    <n v="1.8"/>
    <n v="0"/>
  </r>
  <r>
    <d v="2025-11-15T00:00:00"/>
    <x v="3"/>
    <x v="3"/>
    <n v="1544215"/>
    <x v="32"/>
    <s v="NEFT/A ARUL/TMBLH25319685477 (Ref# 1544215)"/>
    <n v="0.2"/>
    <n v="0"/>
  </r>
  <r>
    <d v="2025-11-15T00:00:00"/>
    <x v="3"/>
    <x v="2"/>
    <m/>
    <x v="28"/>
    <s v="NEFT/TAMILSELVAN G/TMBLH25319685602 (Ref# 1544214)"/>
    <n v="0.1"/>
    <n v="0"/>
  </r>
  <r>
    <d v="2025-11-15T00:00:00"/>
    <x v="3"/>
    <x v="0"/>
    <m/>
    <x v="2"/>
    <s v="RTGS/MTC BUSINESS/HDFCR52025111583860642"/>
    <n v="0"/>
    <n v="2.7191700000000001"/>
  </r>
  <r>
    <d v="2025-11-15T00:00:00"/>
    <x v="3"/>
    <x v="7"/>
    <m/>
    <x v="58"/>
    <s v="JL Disp 210700250122301"/>
    <n v="0"/>
    <n v="13.75"/>
  </r>
  <r>
    <d v="2025-11-15T00:00:00"/>
    <x v="3"/>
    <x v="5"/>
    <m/>
    <x v="40"/>
    <s v="Appraiser fee"/>
    <n v="2E-3"/>
    <n v="0"/>
  </r>
  <r>
    <d v="2025-11-15T00:00:00"/>
    <x v="3"/>
    <x v="7"/>
    <m/>
    <x v="59"/>
    <s v="210700260101923 - Loan Payoff (Ref# 1568081)"/>
    <n v="13.738681000000001"/>
    <n v="0"/>
  </r>
  <r>
    <d v="2025-11-17T00:00:00"/>
    <x v="3"/>
    <x v="2"/>
    <m/>
    <x v="8"/>
    <s v="RTGS/RAMAJAYAM/TMBLR52025111700814737"/>
    <n v="2"/>
    <n v="0"/>
  </r>
  <r>
    <d v="2025-11-18T00:00:00"/>
    <x v="3"/>
    <x v="0"/>
    <m/>
    <x v="2"/>
    <s v="RTGS/MTC BUSINESS/HDFCR52025111884664154"/>
    <n v="0"/>
    <n v="5.05558"/>
  </r>
  <r>
    <d v="2025-11-18T00:00:00"/>
    <x v="3"/>
    <x v="1"/>
    <m/>
    <x v="1"/>
    <s v="TR/CHEPA/VEERA INDUSTRIES"/>
    <n v="0"/>
    <n v="5"/>
  </r>
  <r>
    <d v="2025-11-18T00:00:00"/>
    <x v="3"/>
    <x v="0"/>
    <m/>
    <x v="33"/>
    <s v="IMPS/SRI AMBAL TRADE/532213589638/ICIC/AFFANMETAL"/>
    <n v="0"/>
    <n v="3"/>
  </r>
  <r>
    <d v="2025-11-18T00:00:00"/>
    <x v="3"/>
    <x v="1"/>
    <m/>
    <x v="1"/>
    <s v="TR/CHEPA/VEERA INDUSTRIES"/>
    <n v="0"/>
    <n v="10"/>
  </r>
  <r>
    <d v="2025-11-18T00:00:00"/>
    <x v="3"/>
    <x v="2"/>
    <m/>
    <x v="3"/>
    <s v="RTGS/SAMVARDHANA /TMBLR52025111800960444 (Ref# 1568082)"/>
    <n v="17"/>
    <n v="0"/>
  </r>
  <r>
    <d v="2025-11-18T00:00:00"/>
    <x v="3"/>
    <x v="2"/>
    <m/>
    <x v="6"/>
    <s v="TR/CHEPA/K S SENTERPRISES (Ref# 1568084)"/>
    <n v="1.1499999999999999"/>
    <n v="0"/>
  </r>
  <r>
    <d v="2025-11-19T00:00:00"/>
    <x v="3"/>
    <x v="0"/>
    <m/>
    <x v="2"/>
    <s v="RTGS/MTC BUSINESS/HDFCR52025111985189759"/>
    <n v="0"/>
    <n v="10.14925"/>
  </r>
  <r>
    <d v="2025-11-19T00:00:00"/>
    <x v="3"/>
    <x v="1"/>
    <m/>
    <x v="1"/>
    <s v="TR/CHEPA/VEERA INDUSTRIES"/>
    <n v="0"/>
    <n v="1.5"/>
  </r>
  <r>
    <d v="2025-11-19T00:00:00"/>
    <x v="3"/>
    <x v="2"/>
    <m/>
    <x v="3"/>
    <s v="RTGS/SAMVARDHANA /TMBLR52025111900091961 (Ref# 1568085)"/>
    <n v="11"/>
    <n v="0"/>
  </r>
  <r>
    <d v="2025-11-20T00:00:00"/>
    <x v="3"/>
    <x v="1"/>
    <m/>
    <x v="1"/>
    <s v="TR/CHEPA/VEERA INDUSTRIES"/>
    <n v="0"/>
    <n v="5"/>
  </r>
  <r>
    <d v="2025-11-20T00:00:00"/>
    <x v="3"/>
    <x v="2"/>
    <m/>
    <x v="3"/>
    <s v="RTGS/SAMVARDHANA /TMBLR52025112000176056 (Ref# 1568086)"/>
    <n v="15"/>
    <n v="0"/>
  </r>
  <r>
    <d v="2025-11-20T00:00:00"/>
    <x v="3"/>
    <x v="0"/>
    <m/>
    <x v="33"/>
    <s v="IMPS/SRI AMBAL TRADE/532414329114/ICIC/AFFANMETAL"/>
    <n v="0"/>
    <n v="2"/>
  </r>
  <r>
    <d v="2025-11-20T00:00:00"/>
    <x v="3"/>
    <x v="0"/>
    <m/>
    <x v="2"/>
    <s v="RTGS/MTC BUSINESS/HDFCR52025112085747225"/>
    <n v="0"/>
    <n v="5.1393700000000004"/>
  </r>
  <r>
    <d v="2025-11-20T00:00:00"/>
    <x v="3"/>
    <x v="0"/>
    <m/>
    <x v="33"/>
    <s v="IMPS/SRI AMBAL TRADE/532417728069/ICIC/AFFANMETAL"/>
    <n v="0"/>
    <n v="4"/>
  </r>
  <r>
    <d v="2025-11-20T00:00:00"/>
    <x v="3"/>
    <x v="2"/>
    <m/>
    <x v="15"/>
    <s v="RTGS/SMS And Assemblies/TMBLR52025112000228649"/>
    <n v="10"/>
    <n v="0"/>
  </r>
  <r>
    <d v="2025-11-21T00:00:00"/>
    <x v="3"/>
    <x v="0"/>
    <m/>
    <x v="2"/>
    <s v="RTGS/MTC BUSINESS/HDFCR52025112186164864"/>
    <n v="0"/>
    <n v="5.1755500000000003"/>
  </r>
  <r>
    <d v="2025-11-21T00:00:00"/>
    <x v="3"/>
    <x v="2"/>
    <m/>
    <x v="15"/>
    <s v="RTGS/SMS And Assemblies/TMBLR52025112100328541"/>
    <n v="6"/>
    <n v="0"/>
  </r>
  <r>
    <d v="2025-11-21T00:00:00"/>
    <x v="3"/>
    <x v="0"/>
    <m/>
    <x v="33"/>
    <s v="NEFT/SRI AMBAL TRADERS/IN42532555652320"/>
    <n v="0"/>
    <n v="3"/>
  </r>
  <r>
    <d v="2025-11-22T00:00:00"/>
    <x v="3"/>
    <x v="0"/>
    <m/>
    <x v="2"/>
    <s v="RTGS/MTC BUSINESS/HDFCR52025112286378521"/>
    <n v="0"/>
    <n v="6.5751200000000001"/>
  </r>
  <r>
    <d v="2025-11-23T00:00:00"/>
    <x v="3"/>
    <x v="7"/>
    <m/>
    <x v="34"/>
    <s v="Loan Coll. To -210700850100063"/>
    <n v="0.13242000000000001"/>
    <n v="0"/>
  </r>
  <r>
    <d v="2025-11-24T00:00:00"/>
    <x v="3"/>
    <x v="2"/>
    <m/>
    <x v="15"/>
    <s v="RTGS/SMS And Assemblies/TMBLR52025112400550255"/>
    <n v="9"/>
    <n v="0"/>
  </r>
  <r>
    <d v="2025-11-24T00:00:00"/>
    <x v="3"/>
    <x v="1"/>
    <m/>
    <x v="1"/>
    <s v="eBank/Tr To VEERA INDUSTRIES / TRF"/>
    <n v="0.2"/>
    <n v="0"/>
  </r>
  <r>
    <d v="2025-11-24T00:00:00"/>
    <x v="3"/>
    <x v="2"/>
    <m/>
    <x v="13"/>
    <s v="eBank/633333571/EB Xavier Office"/>
    <n v="0.1978154"/>
    <n v="0"/>
  </r>
  <r>
    <d v="2025-11-24T00:00:00"/>
    <x v="3"/>
    <x v="0"/>
    <m/>
    <x v="33"/>
    <s v="IMPS/SRI AMBAL TRADE/532818301836/ICIC/AFFANMETAL"/>
    <n v="0"/>
    <n v="1.8077300000000001"/>
  </r>
  <r>
    <d v="2025-11-25T00:00:00"/>
    <x v="3"/>
    <x v="1"/>
    <m/>
    <x v="1"/>
    <s v="eBank/Tr From VEERA INDUSTRIES / TRF"/>
    <n v="0"/>
    <n v="14.5"/>
  </r>
  <r>
    <d v="2025-11-25T00:00:00"/>
    <x v="3"/>
    <x v="2"/>
    <m/>
    <x v="15"/>
    <s v="RTGS/SMS And Assemblies/TMBLR52025112500671853"/>
    <n v="15"/>
    <n v="0"/>
  </r>
  <r>
    <d v="2025-11-25T00:00:00"/>
    <x v="3"/>
    <x v="0"/>
    <m/>
    <x v="2"/>
    <s v="RTGS/MTC BUSINESS/HDFCR52025112587317417"/>
    <n v="0"/>
    <n v="13.847160000000001"/>
  </r>
  <r>
    <d v="2025-11-25T00:00:00"/>
    <x v="3"/>
    <x v="1"/>
    <m/>
    <x v="1"/>
    <s v="eBank/Tr To VEERA INDUSTRIES / TRF"/>
    <n v="3"/>
    <n v="0"/>
  </r>
  <r>
    <d v="2025-11-25T00:00:00"/>
    <x v="3"/>
    <x v="2"/>
    <m/>
    <x v="15"/>
    <s v="RTGS/SMS And Assemblies/TMBLR52025112500703140"/>
    <n v="12"/>
    <n v="0"/>
  </r>
  <r>
    <d v="2025-11-26T00:00:00"/>
    <x v="3"/>
    <x v="0"/>
    <m/>
    <x v="2"/>
    <s v="RTGS/MTC BUSINESS/HDFCR52025112687744694"/>
    <n v="0"/>
    <n v="12.245749999999999"/>
  </r>
  <r>
    <d v="2025-11-26T00:00:00"/>
    <x v="3"/>
    <x v="0"/>
    <m/>
    <x v="54"/>
    <s v="CS/CHEPA/SELF"/>
    <n v="0"/>
    <n v="7"/>
  </r>
  <r>
    <d v="2025-11-26T00:00:00"/>
    <x v="3"/>
    <x v="0"/>
    <m/>
    <x v="6"/>
    <s v="TR/CHEPA/K S S ENTERPRISES"/>
    <n v="0"/>
    <n v="2"/>
  </r>
  <r>
    <d v="2025-11-26T00:00:00"/>
    <x v="3"/>
    <x v="1"/>
    <m/>
    <x v="1"/>
    <s v="eBank/Tr To VEERA INDUSTRIES / TRF"/>
    <n v="5"/>
    <n v="0"/>
  </r>
  <r>
    <d v="2025-11-26T00:00:00"/>
    <x v="3"/>
    <x v="2"/>
    <m/>
    <x v="15"/>
    <s v="RTGS/SMS And Assemblies/TMBLR52025112600814449"/>
    <n v="16"/>
    <n v="0"/>
  </r>
  <r>
    <d v="2025-11-27T00:00:00"/>
    <x v="3"/>
    <x v="0"/>
    <m/>
    <x v="2"/>
    <s v="RTGS/MTC BUSINESS/HDFCR52025112788251470"/>
    <n v="0"/>
    <n v="10.6729"/>
  </r>
  <r>
    <d v="2025-11-27T00:00:00"/>
    <x v="3"/>
    <x v="2"/>
    <m/>
    <x v="15"/>
    <s v="RTGS/SMS And Assemblies/TMBLR52025112700924712"/>
    <n v="11"/>
    <n v="0"/>
  </r>
  <r>
    <d v="2025-11-27T00:00:00"/>
    <x v="3"/>
    <x v="1"/>
    <m/>
    <x v="1"/>
    <s v="eBank/Tr From VEERA INDUSTRIES / TRF"/>
    <n v="0"/>
    <n v="14"/>
  </r>
  <r>
    <d v="2025-11-27T00:00:00"/>
    <x v="3"/>
    <x v="2"/>
    <m/>
    <x v="15"/>
    <s v="RTGS/SMS And Assemblies/TMBLR52025112700939201"/>
    <n v="14"/>
    <n v="0"/>
  </r>
  <r>
    <d v="2025-11-27T00:00:00"/>
    <x v="3"/>
    <x v="2"/>
    <m/>
    <x v="56"/>
    <s v="NEFT/SARALA B/TMBLH25331943328 (Ref# 1568089)"/>
    <n v="0.5"/>
    <n v="0"/>
  </r>
  <r>
    <d v="2025-11-28T00:00:00"/>
    <x v="3"/>
    <x v="0"/>
    <m/>
    <x v="33"/>
    <s v="IMPS/SRI AMBAL TRADE/533210701467/ICIC/AFFANMETAL"/>
    <n v="0"/>
    <n v="3"/>
  </r>
  <r>
    <d v="2025-11-28T00:00:00"/>
    <x v="3"/>
    <x v="1"/>
    <m/>
    <x v="1"/>
    <s v="eBank/Tr From VEERA INDUSTRIES / trf"/>
    <n v="0"/>
    <n v="5"/>
  </r>
  <r>
    <d v="2025-11-28T00:00:00"/>
    <x v="3"/>
    <x v="2"/>
    <m/>
    <x v="15"/>
    <s v="RTGS/SMS And Assemblies/TMBLR52025112800021821"/>
    <n v="8"/>
    <n v="0"/>
  </r>
  <r>
    <d v="2025-11-28T00:00:00"/>
    <x v="3"/>
    <x v="0"/>
    <m/>
    <x v="2"/>
    <s v="RTGS/MTC BUSINESS/HDFCR52025112888681949"/>
    <n v="0"/>
    <n v="8.8658400000000004"/>
  </r>
  <r>
    <d v="2025-11-28T00:00:00"/>
    <x v="3"/>
    <x v="2"/>
    <m/>
    <x v="15"/>
    <s v="RTGS/SMS And Assemblies/TMBLR52025112800039964"/>
    <n v="8"/>
    <n v="0"/>
  </r>
  <r>
    <d v="2025-11-28T00:00:00"/>
    <x v="3"/>
    <x v="2"/>
    <m/>
    <x v="6"/>
    <s v="eBank/Tr To K S S ENTERPRISES / TRF"/>
    <n v="0.4"/>
    <n v="0"/>
  </r>
  <r>
    <d v="2025-11-29T00:00:00"/>
    <x v="3"/>
    <x v="0"/>
    <m/>
    <x v="2"/>
    <s v="RTGS/MTC BUSINESS/HDFCR52025112989028197"/>
    <n v="0"/>
    <n v="11.58727"/>
  </r>
  <r>
    <d v="2025-11-29T00:00:00"/>
    <x v="3"/>
    <x v="1"/>
    <m/>
    <x v="1"/>
    <s v="eBank/Tr To VEERA INDUSTRIES / TRANSFER TO VEERA"/>
    <n v="4"/>
    <n v="0"/>
  </r>
  <r>
    <d v="2025-11-29T00:00:00"/>
    <x v="3"/>
    <x v="2"/>
    <m/>
    <x v="6"/>
    <s v="eBank/Tr To K S S ENTERPRISES / TRANSFER TO KSS"/>
    <n v="0.5"/>
    <n v="0"/>
  </r>
  <r>
    <d v="2025-11-29T00:00:00"/>
    <x v="3"/>
    <x v="2"/>
    <m/>
    <x v="15"/>
    <s v="RTGS/SMS And Assemblies/TMBLR52025112900161504"/>
    <n v="7"/>
    <n v="0"/>
  </r>
  <r>
    <d v="2025-11-29T00:00:00"/>
    <x v="3"/>
    <x v="0"/>
    <m/>
    <x v="33"/>
    <s v="NEFT/SRI AMBAL TRADERS/IN42533350280489"/>
    <n v="0"/>
    <n v="5"/>
  </r>
  <r>
    <d v="2025-12-01T00:00:00"/>
    <x v="4"/>
    <x v="2"/>
    <m/>
    <x v="13"/>
    <s v="eBank/634593331/RECYLEME SUBSCRIPTION RENEWAL"/>
    <n v="0.1"/>
    <n v="0"/>
  </r>
  <r>
    <d v="2025-12-01T00:00:00"/>
    <x v="4"/>
    <x v="0"/>
    <m/>
    <x v="33"/>
    <s v="IMPS/SRI AMBAL TRADE/533518945118/ICIC/AFFANMETAL"/>
    <n v="0"/>
    <n v="2.53389"/>
  </r>
  <r>
    <d v="2025-12-02T00:00:00"/>
    <x v="4"/>
    <x v="2"/>
    <m/>
    <x v="15"/>
    <s v="RTGS/SMS And Assemblies/TMBLR52025120200468720"/>
    <n v="8.0079600000000006"/>
    <n v="0"/>
  </r>
  <r>
    <d v="2025-12-03T00:00:00"/>
    <x v="4"/>
    <x v="0"/>
    <m/>
    <x v="33"/>
    <s v="IMPS/SRI AMBAL TRADE/533711665298/ICIC/AFFANMETAL"/>
    <n v="0"/>
    <n v="2.9055800000000001"/>
  </r>
  <r>
    <d v="2025-12-03T00:00:00"/>
    <x v="4"/>
    <x v="3"/>
    <n v="1568091"/>
    <x v="4"/>
    <s v="TR/CHEPA/ILAKKIYA (Ref# 1568091)"/>
    <n v="1.1299999999999999"/>
    <n v="0"/>
  </r>
  <r>
    <d v="2025-12-03T00:00:00"/>
    <x v="4"/>
    <x v="2"/>
    <m/>
    <x v="13"/>
    <s v="NEFT/SURESH M/TMBLH25337613255 (Ref# 1568092)"/>
    <n v="0.3"/>
    <n v="0"/>
  </r>
  <r>
    <d v="2025-12-03T00:00:00"/>
    <x v="4"/>
    <x v="0"/>
    <m/>
    <x v="2"/>
    <s v="RTGS/MTC BUSINESS/HDFCR52025120390606176"/>
    <n v="0"/>
    <n v="10.73992"/>
  </r>
  <r>
    <d v="2025-12-03T00:00:00"/>
    <x v="4"/>
    <x v="2"/>
    <m/>
    <x v="15"/>
    <s v="RTGS/SMS And Assemblies/TMBLR52025120300633366"/>
    <n v="12"/>
    <n v="0"/>
  </r>
  <r>
    <d v="2025-12-03T00:00:00"/>
    <x v="4"/>
    <x v="2"/>
    <m/>
    <x v="37"/>
    <s v="eBank/Tr To XAVIERDAS.A / TRANSFER TO MR.XAVIE"/>
    <n v="7.0000000000000007E-2"/>
    <n v="0"/>
  </r>
  <r>
    <d v="2025-12-04T00:00:00"/>
    <x v="4"/>
    <x v="1"/>
    <m/>
    <x v="1"/>
    <s v="eBank/Tr From VEERA INDUSTRIES / TRASSFER TO VEERA"/>
    <n v="0"/>
    <n v="20"/>
  </r>
  <r>
    <d v="2025-12-04T00:00:00"/>
    <x v="4"/>
    <x v="2"/>
    <m/>
    <x v="15"/>
    <s v="RTGS/SMS And Assemblies/TMBLR52025120400726062"/>
    <n v="20"/>
    <n v="0"/>
  </r>
  <r>
    <d v="2025-12-04T00:00:00"/>
    <x v="4"/>
    <x v="0"/>
    <m/>
    <x v="33"/>
    <s v="IMPS/SRI AMBAL TRADE/533812951640/ICIC/AFFANMETAL"/>
    <n v="0"/>
    <n v="2.4699"/>
  </r>
  <r>
    <d v="2025-12-04T00:00:00"/>
    <x v="4"/>
    <x v="0"/>
    <m/>
    <x v="2"/>
    <s v="RTGS/MTC BUSINESS/HDFCR52025120490928030"/>
    <n v="0"/>
    <n v="8.2945899999999995"/>
  </r>
  <r>
    <d v="2025-12-04T00:00:00"/>
    <x v="4"/>
    <x v="6"/>
    <m/>
    <x v="24"/>
    <s v="CS/CHEPA/SELF (Ref# 1544168)"/>
    <n v="1.5"/>
    <n v="0"/>
  </r>
  <r>
    <d v="2025-12-04T00:00:00"/>
    <x v="4"/>
    <x v="2"/>
    <m/>
    <x v="48"/>
    <s v="NEFT/VIHAN N UG NAVANEE/TMBLH25338776168 (Ref# 1568093)"/>
    <n v="1"/>
    <n v="0"/>
  </r>
  <r>
    <d v="2025-12-04T00:00:00"/>
    <x v="4"/>
    <x v="2"/>
    <m/>
    <x v="53"/>
    <s v="NEFT/NAVANEETHAN RAJKAN/TMBLH25338776264 (Ref# 1568094)"/>
    <n v="0.4"/>
    <n v="0"/>
  </r>
  <r>
    <d v="2025-12-04T00:00:00"/>
    <x v="4"/>
    <x v="2"/>
    <m/>
    <x v="31"/>
    <s v="NEFT/RAJKANTH JAYARAM/TMBLH25338778340 (Ref# 1568095)"/>
    <n v="0.5"/>
    <n v="0"/>
  </r>
  <r>
    <d v="2025-12-04T00:00:00"/>
    <x v="4"/>
    <x v="2"/>
    <m/>
    <x v="30"/>
    <s v="NEFT/DHANALAKSHMI RAJKA/TMBLH25338779794 (Ref# 1568096)"/>
    <n v="0.5"/>
    <n v="0"/>
  </r>
  <r>
    <d v="2025-12-05T00:00:00"/>
    <x v="4"/>
    <x v="1"/>
    <m/>
    <x v="1"/>
    <s v="eBank/Tr From VEERA INDUSTRIES / trf"/>
    <n v="0"/>
    <n v="10"/>
  </r>
  <r>
    <d v="2025-12-05T00:00:00"/>
    <x v="4"/>
    <x v="2"/>
    <m/>
    <x v="15"/>
    <s v="RTGS/SMS And Assemblies/TMBLR52025120500858572"/>
    <n v="10"/>
    <n v="0"/>
  </r>
  <r>
    <d v="2025-12-05T00:00:00"/>
    <x v="4"/>
    <x v="2"/>
    <m/>
    <x v="6"/>
    <s v="TR/CHEPA/KSS ENTER (Ref# 1568099)"/>
    <n v="0.85"/>
    <n v="0"/>
  </r>
  <r>
    <d v="2025-12-05T00:00:00"/>
    <x v="4"/>
    <x v="0"/>
    <m/>
    <x v="2"/>
    <s v="RTGS/MTC BUSINESS/HDFCR52025120591611776"/>
    <n v="0"/>
    <n v="7.9956300000000002"/>
  </r>
  <r>
    <d v="2025-12-05T00:00:00"/>
    <x v="4"/>
    <x v="5"/>
    <m/>
    <x v="20"/>
    <s v="TIN/25120500057937/TAX (Ref# 1568098)"/>
    <n v="0.12706999999999999"/>
    <n v="0"/>
  </r>
  <r>
    <d v="2025-12-05T00:00:00"/>
    <x v="4"/>
    <x v="5"/>
    <m/>
    <x v="20"/>
    <s v="TIN/25120500054882/TAX (Ref# 1568097)"/>
    <n v="3.4228200000000002"/>
    <n v="0"/>
  </r>
  <r>
    <d v="2025-12-05T00:00:00"/>
    <x v="4"/>
    <x v="0"/>
    <m/>
    <x v="33"/>
    <s v="IMPS/SRI AMBAL TRADE/533920613390/ICIC/AFFANMETAL"/>
    <n v="0"/>
    <n v="3"/>
  </r>
  <r>
    <d v="2025-12-06T00:00:00"/>
    <x v="4"/>
    <x v="3"/>
    <n v="1568100"/>
    <x v="14"/>
    <s v="NEFT/G PREETHI/TMBLH25340048249 (Ref# 1568100)"/>
    <n v="1"/>
    <n v="0"/>
  </r>
  <r>
    <d v="2025-12-06T00:00:00"/>
    <x v="4"/>
    <x v="0"/>
    <m/>
    <x v="2"/>
    <s v="RTGS/MTC BUSINESS/HDFCR52025120691818905"/>
    <n v="0"/>
    <n v="5.8287399999999998"/>
  </r>
  <r>
    <d v="2025-12-06T00:00:00"/>
    <x v="4"/>
    <x v="2"/>
    <m/>
    <x v="12"/>
    <s v="NEFT/vinod kumar/TMBLH25340069820"/>
    <n v="0.66"/>
    <n v="0"/>
  </r>
  <r>
    <d v="2025-12-06T00:00:00"/>
    <x v="4"/>
    <x v="2"/>
    <m/>
    <x v="8"/>
    <s v="NEFT/RAMAJAYAM/TMBLH25340071849 (Ref# 1568101)"/>
    <n v="2.1970000000000001"/>
    <n v="0"/>
  </r>
  <r>
    <d v="2025-12-06T00:00:00"/>
    <x v="4"/>
    <x v="2"/>
    <m/>
    <x v="11"/>
    <s v="NEFT/PANDURANGAN/TMBLH25340072306 (Ref# 1568104)"/>
    <n v="0.63741000000000003"/>
    <n v="0"/>
  </r>
  <r>
    <d v="2025-12-06T00:00:00"/>
    <x v="4"/>
    <x v="2"/>
    <m/>
    <x v="10"/>
    <s v="NEFT/KANNAN D/TMBLH25340072350 (Ref# 1568103)"/>
    <n v="0.69294"/>
    <n v="0"/>
  </r>
  <r>
    <d v="2025-12-06T00:00:00"/>
    <x v="4"/>
    <x v="2"/>
    <m/>
    <x v="9"/>
    <s v="NEFT/SARAVANAN M/TMBLH25340072381 (Ref# 1568102)"/>
    <n v="1.4244000000000001"/>
    <n v="0"/>
  </r>
  <r>
    <d v="2025-12-06T00:00:00"/>
    <x v="4"/>
    <x v="2"/>
    <m/>
    <x v="15"/>
    <s v="RTGS/SMS And Assemblies/TMBLR52025120600072729"/>
    <n v="10"/>
    <n v="0"/>
  </r>
  <r>
    <d v="2025-12-06T00:00:00"/>
    <x v="4"/>
    <x v="5"/>
    <m/>
    <x v="20"/>
    <s v="NEFT/GST/TMBLH25340072824 (Ref# 1568105)"/>
    <n v="2.0357799999999999"/>
    <n v="0"/>
  </r>
  <r>
    <d v="2025-12-06T00:00:00"/>
    <x v="4"/>
    <x v="6"/>
    <m/>
    <x v="24"/>
    <s v="CS/210/SELF-VINOTHKUMAR (Ref# 1544167)"/>
    <n v="1"/>
    <n v="0"/>
  </r>
  <r>
    <d v="2025-12-08T00:00:00"/>
    <x v="4"/>
    <x v="0"/>
    <m/>
    <x v="33"/>
    <s v="IMPS/SRI AMBAL TRADE/534211644863/ICIC/AFFANMETAL"/>
    <n v="0"/>
    <n v="3"/>
  </r>
  <r>
    <d v="2025-12-08T00:00:00"/>
    <x v="4"/>
    <x v="7"/>
    <m/>
    <x v="60"/>
    <s v="JL Disp 210700300100227"/>
    <n v="0"/>
    <n v="5"/>
  </r>
  <r>
    <d v="2025-12-08T00:00:00"/>
    <x v="4"/>
    <x v="5"/>
    <m/>
    <x v="40"/>
    <s v="Appraiser fee"/>
    <n v="2E-3"/>
    <n v="0"/>
  </r>
  <r>
    <d v="2025-12-08T00:00:00"/>
    <x v="4"/>
    <x v="6"/>
    <m/>
    <x v="24"/>
    <s v="CS/CHEPA/SELF (Ref# 1568130)"/>
    <n v="2"/>
    <n v="0"/>
  </r>
  <r>
    <d v="2025-12-08T00:00:00"/>
    <x v="4"/>
    <x v="3"/>
    <n v="1568106"/>
    <x v="32"/>
    <s v="RTGS/ARUL A/TMBLR52025120800246484 (Ref# 1568106)"/>
    <n v="3"/>
    <n v="0"/>
  </r>
  <r>
    <d v="2025-12-08T00:00:00"/>
    <x v="4"/>
    <x v="0"/>
    <m/>
    <x v="2"/>
    <s v="RTGS/MTC BUSINESS/HDFCR52025120892268617"/>
    <n v="0"/>
    <n v="3.8311999999999999"/>
  </r>
  <r>
    <d v="2025-12-08T00:00:00"/>
    <x v="4"/>
    <x v="2"/>
    <m/>
    <x v="55"/>
    <s v="NEFT/PANKAJ ACHARYA/TMBLH25342282749 (Ref# 1568107)"/>
    <n v="0.55000000000000004"/>
    <n v="0"/>
  </r>
  <r>
    <d v="2025-12-09T00:00:00"/>
    <x v="4"/>
    <x v="1"/>
    <m/>
    <x v="1"/>
    <s v="TR/CHEPA/VEERA INDUSTRIES"/>
    <n v="0"/>
    <n v="1"/>
  </r>
  <r>
    <d v="2025-12-09T00:00:00"/>
    <x v="4"/>
    <x v="2"/>
    <m/>
    <x v="3"/>
    <s v="RTGS/SAMVARDHANA /TMBLR52025120900383428 (Ref# 1568108)"/>
    <n v="7"/>
    <n v="0"/>
  </r>
  <r>
    <d v="2025-12-09T00:00:00"/>
    <x v="4"/>
    <x v="0"/>
    <m/>
    <x v="2"/>
    <s v="RTGS/MTC BUSINESS/HDFCR52025120992835918"/>
    <n v="0"/>
    <n v="8.5573599999999992"/>
  </r>
  <r>
    <d v="2025-12-09T00:00:00"/>
    <x v="4"/>
    <x v="2"/>
    <m/>
    <x v="3"/>
    <s v="RTGS/SAMVARDHANA /TMBLR52025120900415303 (Ref# 1568109)"/>
    <n v="8"/>
    <n v="0"/>
  </r>
  <r>
    <d v="2025-12-09T00:00:00"/>
    <x v="4"/>
    <x v="0"/>
    <m/>
    <x v="33"/>
    <s v="IMPS/SRI AMBAL TRADE/534318734374/ICIC/AFFANMETAL"/>
    <n v="0"/>
    <n v="3"/>
  </r>
  <r>
    <d v="2025-12-10T00:00:00"/>
    <x v="4"/>
    <x v="0"/>
    <m/>
    <x v="33"/>
    <s v="IMPS/SRI AMBAL TRADE/534410745324/ICIC/AFFANMETAL"/>
    <n v="0"/>
    <n v="1"/>
  </r>
  <r>
    <d v="2025-12-10T00:00:00"/>
    <x v="4"/>
    <x v="0"/>
    <m/>
    <x v="33"/>
    <s v="IMPS/SRI AMBAL TRADE/534413238002/ICIC/AFFANMETAL"/>
    <n v="0"/>
    <n v="5"/>
  </r>
  <r>
    <d v="2025-12-10T00:00:00"/>
    <x v="4"/>
    <x v="2"/>
    <m/>
    <x v="3"/>
    <s v="RTGS/SAMVARDHANA /TMBLR52025121000532111 (Ref# 1568110)"/>
    <n v="9"/>
    <n v="0"/>
  </r>
  <r>
    <d v="2025-12-10T00:00:00"/>
    <x v="4"/>
    <x v="0"/>
    <m/>
    <x v="2"/>
    <s v="RTGS/MTC BUSINESS/HDFCR52025121093419427"/>
    <n v="0"/>
    <n v="13.9557"/>
  </r>
  <r>
    <d v="2025-12-10T00:00:00"/>
    <x v="4"/>
    <x v="2"/>
    <m/>
    <x v="3"/>
    <s v="RTGS/SAMVARDHANA /TMBLR52025121000572349 (Ref# 1568111)"/>
    <n v="14"/>
    <n v="0"/>
  </r>
  <r>
    <d v="2025-12-11T00:00:00"/>
    <x v="4"/>
    <x v="1"/>
    <m/>
    <x v="1"/>
    <s v="eBank/Tr From VEERA INDUSTRIES / trf"/>
    <n v="0"/>
    <n v="7"/>
  </r>
  <r>
    <d v="2025-12-11T00:00:00"/>
    <x v="4"/>
    <x v="2"/>
    <m/>
    <x v="15"/>
    <s v="RTGS/SMS And Assemblies/TMBLR52025121100645755"/>
    <n v="7.5"/>
    <n v="0"/>
  </r>
  <r>
    <d v="2025-12-11T00:00:00"/>
    <x v="4"/>
    <x v="0"/>
    <m/>
    <x v="2"/>
    <s v="RTGS/MTC BUSINESS/HDFCR52025121193757806"/>
    <n v="0"/>
    <n v="2.5458799999999999"/>
  </r>
  <r>
    <d v="2025-12-11T00:00:00"/>
    <x v="4"/>
    <x v="0"/>
    <m/>
    <x v="54"/>
    <s v="CS/CHEPA/SELF"/>
    <n v="0"/>
    <n v="7"/>
  </r>
  <r>
    <d v="2025-12-11T00:00:00"/>
    <x v="4"/>
    <x v="2"/>
    <m/>
    <x v="15"/>
    <s v="RTGS/SMS And Assemblies/TMBLR52025121100677788"/>
    <n v="9"/>
    <n v="0"/>
  </r>
  <r>
    <d v="2025-12-11T00:00:00"/>
    <x v="4"/>
    <x v="0"/>
    <m/>
    <x v="33"/>
    <s v="IMPS/SRI AMBAL TRADE/534516768749/ICIC/AFFANMETAL"/>
    <n v="0"/>
    <n v="3"/>
  </r>
  <r>
    <d v="2025-12-12T00:00:00"/>
    <x v="4"/>
    <x v="7"/>
    <m/>
    <x v="25"/>
    <s v="Loan Coll. To -210700850100057"/>
    <n v="0.42004000000000002"/>
    <n v="0"/>
  </r>
  <r>
    <d v="2025-12-12T00:00:00"/>
    <x v="4"/>
    <x v="0"/>
    <m/>
    <x v="33"/>
    <s v="IMPS/SRI AMBAL TRADE/534610849692/ICIC/AFFANMETAL"/>
    <n v="0"/>
    <n v="5"/>
  </r>
  <r>
    <d v="2025-12-12T00:00:00"/>
    <x v="4"/>
    <x v="2"/>
    <m/>
    <x v="3"/>
    <s v="RTGS/SAMVARDHANA /TMBLR52025121200774108 (Ref# 1568112)"/>
    <n v="8"/>
    <n v="0"/>
  </r>
  <r>
    <d v="2025-12-12T00:00:00"/>
    <x v="4"/>
    <x v="0"/>
    <m/>
    <x v="2"/>
    <s v="RTGS/MTC BUSINESS/HDFCR52025121294114985"/>
    <n v="0"/>
    <n v="8.1651000000000007"/>
  </r>
  <r>
    <d v="2025-12-12T00:00:00"/>
    <x v="4"/>
    <x v="4"/>
    <m/>
    <x v="23"/>
    <s v="RTGS/NATARAJAN M/CNRBR52025121272318197"/>
    <n v="0"/>
    <n v="4"/>
  </r>
  <r>
    <d v="2025-12-12T00:00:00"/>
    <x v="4"/>
    <x v="2"/>
    <m/>
    <x v="15"/>
    <s v="RTGS/SMS And Assemblies/TMBLR52025121200806906"/>
    <n v="12"/>
    <n v="0"/>
  </r>
  <r>
    <d v="2025-12-12T00:00:00"/>
    <x v="4"/>
    <x v="1"/>
    <m/>
    <x v="1"/>
    <s v="eBank/Tr From VEERA INDUSTRIES / TRANSFER TO AFFAN"/>
    <n v="0"/>
    <n v="10"/>
  </r>
  <r>
    <d v="2025-12-12T00:00:00"/>
    <x v="4"/>
    <x v="2"/>
    <m/>
    <x v="15"/>
    <s v="RTGS/SMS And Assemblies/TMBLR52025121200835793"/>
    <n v="10"/>
    <n v="0"/>
  </r>
  <r>
    <d v="2025-12-13T00:00:00"/>
    <x v="4"/>
    <x v="0"/>
    <m/>
    <x v="2"/>
    <s v="RTGS/MTC BUSINESS/HDFCR52025121394523909"/>
    <n v="0"/>
    <n v="12.426360000000001"/>
  </r>
  <r>
    <d v="2025-12-14T00:00:00"/>
    <x v="4"/>
    <x v="10"/>
    <m/>
    <x v="61"/>
    <s v="NEFT/ITDTAX REFUND 2025/SBIN225348077513"/>
    <n v="0"/>
    <n v="34.215899999999998"/>
  </r>
  <r>
    <d v="2025-12-15T00:00:00"/>
    <x v="4"/>
    <x v="0"/>
    <m/>
    <x v="33"/>
    <s v="RTGS/SRI AMBAL TR/ICICR42025121500508719"/>
    <n v="0"/>
    <n v="5"/>
  </r>
  <r>
    <d v="2025-12-15T00:00:00"/>
    <x v="4"/>
    <x v="2"/>
    <m/>
    <x v="6"/>
    <s v="TR/CHEPA/K S S ENTERPRISES (Ref# 1568116)"/>
    <n v="0.6"/>
    <n v="0"/>
  </r>
  <r>
    <d v="2025-12-15T00:00:00"/>
    <x v="4"/>
    <x v="3"/>
    <n v="1568115"/>
    <x v="32"/>
    <s v="NEFT/A ARUL/TMBLH25349071470 (Ref# 1568115)"/>
    <n v="0.2"/>
    <n v="0"/>
  </r>
  <r>
    <d v="2025-12-15T00:00:00"/>
    <x v="4"/>
    <x v="2"/>
    <m/>
    <x v="3"/>
    <s v="RTGS/SAMVARDHANA /TMBLR52025121500071846 (Ref# 1568113)"/>
    <n v="13.345230000000001"/>
    <n v="0"/>
  </r>
  <r>
    <d v="2025-12-15T00:00:00"/>
    <x v="4"/>
    <x v="2"/>
    <m/>
    <x v="28"/>
    <s v="NEFT/TAMILSELVAN G/TMBLH25349077149 (Ref# 1568114)"/>
    <n v="0.1"/>
    <n v="0"/>
  </r>
  <r>
    <d v="2025-12-15T00:00:00"/>
    <x v="4"/>
    <x v="1"/>
    <m/>
    <x v="1"/>
    <s v="TR/CHEPA/VEERA INDUSTRIES (Ref# 1568118)"/>
    <n v="4"/>
    <n v="0"/>
  </r>
  <r>
    <d v="2025-12-15T00:00:00"/>
    <x v="4"/>
    <x v="2"/>
    <m/>
    <x v="8"/>
    <s v="NEFT/RAMAJAYAM/TMBLH25349087333 (Ref# 1568117)"/>
    <n v="2"/>
    <n v="0"/>
  </r>
  <r>
    <d v="2025-12-16T00:00:00"/>
    <x v="4"/>
    <x v="2"/>
    <m/>
    <x v="15"/>
    <s v="RTGS/SMS And Assemblies/TMBLR52025121600179957"/>
    <n v="22.72373"/>
    <n v="0"/>
  </r>
  <r>
    <d v="2025-12-16T00:00:00"/>
    <x v="4"/>
    <x v="0"/>
    <m/>
    <x v="2"/>
    <s v="RTGS/MTC BUSINESS/HDFCR52025121695415510"/>
    <n v="0"/>
    <n v="13.752700000000001"/>
  </r>
  <r>
    <d v="2025-12-17T00:00:00"/>
    <x v="4"/>
    <x v="0"/>
    <m/>
    <x v="33"/>
    <s v="IMPS/SRI AMBAL TRADE/535110806700/ICIC/AFFANMETAL"/>
    <n v="0"/>
    <n v="5"/>
  </r>
  <r>
    <d v="2025-12-17T00:00:00"/>
    <x v="4"/>
    <x v="2"/>
    <m/>
    <x v="3"/>
    <s v="RTGS/SAMVARDHANA /TMBLR52025121700315586 (Ref# 1568119)"/>
    <n v="15.18613"/>
    <n v="0"/>
  </r>
  <r>
    <d v="2025-12-17T00:00:00"/>
    <x v="4"/>
    <x v="0"/>
    <m/>
    <x v="2"/>
    <s v="RTGS/MTC BUSINESS/HDFCR52025121795903789"/>
    <n v="0"/>
    <n v="5.2960799999999999"/>
  </r>
  <r>
    <d v="2025-12-18T00:00:00"/>
    <x v="4"/>
    <x v="2"/>
    <m/>
    <x v="3"/>
    <s v="RTGS/SAMVARDHANA /TMBLR52025121800441406 (Ref# 1568120)"/>
    <n v="11.015000000000001"/>
    <n v="0"/>
  </r>
  <r>
    <d v="2025-12-18T00:00:00"/>
    <x v="4"/>
    <x v="1"/>
    <m/>
    <x v="1"/>
    <s v="eBank/Tr To VEERA INDUSTRIES / TRANSFER TO VEERA"/>
    <n v="2"/>
    <n v="0"/>
  </r>
  <r>
    <d v="2025-12-18T00:00:00"/>
    <x v="4"/>
    <x v="0"/>
    <m/>
    <x v="2"/>
    <s v="RTGS/MTC BUSINESS/HDFCR52025121896470745"/>
    <n v="0"/>
    <n v="10.48799"/>
  </r>
  <r>
    <d v="2025-12-18T00:00:00"/>
    <x v="4"/>
    <x v="1"/>
    <m/>
    <x v="1"/>
    <s v="TR/CHEPA/VEERA INDUSTRIES (Ref# 1568121)"/>
    <n v="0.5"/>
    <n v="0"/>
  </r>
  <r>
    <d v="2025-12-19T00:00:00"/>
    <x v="4"/>
    <x v="0"/>
    <m/>
    <x v="33"/>
    <s v="IMPS/SRI AMBAL TRADE/535309477197/ICIC/AFFANMETAL"/>
    <n v="0"/>
    <n v="3"/>
  </r>
  <r>
    <d v="2025-12-19T00:00:00"/>
    <x v="4"/>
    <x v="2"/>
    <m/>
    <x v="6"/>
    <s v="TR/CHEPA/K S S ENTERPRISES (Ref# 1568123)"/>
    <n v="0.95"/>
    <n v="0"/>
  </r>
  <r>
    <d v="2025-12-19T00:00:00"/>
    <x v="4"/>
    <x v="2"/>
    <m/>
    <x v="3"/>
    <s v="RTGS/SAMVARDHANA /TMBLR52025121900568561 (Ref# 1568122)"/>
    <n v="16.61711"/>
    <n v="0"/>
  </r>
  <r>
    <d v="2025-12-19T00:00:00"/>
    <x v="4"/>
    <x v="0"/>
    <m/>
    <x v="2"/>
    <s v="RTGS/MTC BUSINESS/HDFCR52025121996869224"/>
    <n v="0"/>
    <n v="9.1579200000000007"/>
  </r>
  <r>
    <d v="2025-12-20T00:00:00"/>
    <x v="4"/>
    <x v="0"/>
    <m/>
    <x v="2"/>
    <s v="RTGS/MTC BUSINESS/HDFCR52025122097331462"/>
    <n v="0"/>
    <n v="9.3513900000000003"/>
  </r>
  <r>
    <d v="2025-12-20T00:00:00"/>
    <x v="4"/>
    <x v="2"/>
    <m/>
    <x v="3"/>
    <s v="RTGS/SAMVARDHANA /TMBLR52025122000705181 (Ref# 1568124)"/>
    <n v="17"/>
    <n v="0"/>
  </r>
  <r>
    <d v="2025-12-22T00:00:00"/>
    <x v="4"/>
    <x v="0"/>
    <m/>
    <x v="33"/>
    <s v="IMPS/SRI AMBAL TRADE/535609290023/ICIC/AFFANMETAL"/>
    <n v="0"/>
    <n v="3.4"/>
  </r>
  <r>
    <d v="2025-12-22T00:00:00"/>
    <x v="4"/>
    <x v="2"/>
    <m/>
    <x v="6"/>
    <s v="TR/CHEPA/K S S ENTERPRISES (Ref# 1568802)"/>
    <n v="0.28999999999999998"/>
    <n v="0"/>
  </r>
  <r>
    <d v="2025-12-22T00:00:00"/>
    <x v="4"/>
    <x v="2"/>
    <m/>
    <x v="3"/>
    <s v="NEFT/SAMVARDHANA MOTHER/TMBLH25356864291 (Ref# 1568801)"/>
    <n v="3.4269699999999998"/>
    <n v="0"/>
  </r>
  <r>
    <d v="2025-12-22T00:00:00"/>
    <x v="4"/>
    <x v="2"/>
    <m/>
    <x v="13"/>
    <s v="NEFT/SURESH M/TMBLH25356864340 (Ref# 1568803)"/>
    <n v="3.3000000000000002E-2"/>
    <n v="0"/>
  </r>
  <r>
    <d v="2025-12-23T00:00:00"/>
    <x v="4"/>
    <x v="7"/>
    <m/>
    <x v="34"/>
    <s v="Loan Coll. To -210700850100063"/>
    <n v="0.13242000000000001"/>
    <n v="0"/>
  </r>
  <r>
    <d v="2025-12-23T00:00:00"/>
    <x v="4"/>
    <x v="1"/>
    <m/>
    <x v="1"/>
    <s v="eBank/Tr From VEERA INDUSTRIES / trf"/>
    <n v="0"/>
    <n v="3.5"/>
  </r>
  <r>
    <d v="2025-12-23T00:00:00"/>
    <x v="4"/>
    <x v="2"/>
    <m/>
    <x v="3"/>
    <s v="RTGS/SAMVARDHANA /TMBLR52025122300978601 (Ref# 1568804)"/>
    <n v="5"/>
    <n v="0"/>
  </r>
  <r>
    <d v="2025-12-23T00:00:00"/>
    <x v="4"/>
    <x v="0"/>
    <m/>
    <x v="2"/>
    <s v="RTGS/MTC BUSINESS/HDFCR52025122398281151"/>
    <n v="0"/>
    <n v="10.528919999999999"/>
  </r>
  <r>
    <d v="2025-12-23T00:00:00"/>
    <x v="4"/>
    <x v="2"/>
    <m/>
    <x v="15"/>
    <s v="RTGS/SMS And Assemblies/TMBLR52025122300985700"/>
    <n v="10"/>
    <n v="0"/>
  </r>
  <r>
    <d v="2025-12-23T00:00:00"/>
    <x v="4"/>
    <x v="0"/>
    <m/>
    <x v="33"/>
    <s v="RTGS/SRI AMBAL TR/ICICR42025122300572442"/>
    <n v="0"/>
    <n v="10"/>
  </r>
  <r>
    <d v="2025-12-23T00:00:00"/>
    <x v="4"/>
    <x v="2"/>
    <m/>
    <x v="15"/>
    <s v="RTGS/SMS And Assemblies/TMBLR52025122300040295"/>
    <n v="10"/>
    <n v="0"/>
  </r>
  <r>
    <d v="2025-12-24T00:00:00"/>
    <x v="4"/>
    <x v="3"/>
    <s v="RTGS"/>
    <x v="32"/>
    <s v="RTGS/ARUL A/KVBLR52025122462862708"/>
    <n v="0"/>
    <n v="8.9"/>
  </r>
  <r>
    <d v="2025-12-24T00:00:00"/>
    <x v="4"/>
    <x v="0"/>
    <m/>
    <x v="2"/>
    <s v="RTGS/MTC BUSINESS/HDFCR52025122498865824"/>
    <n v="0"/>
    <n v="5.4058299999999999"/>
  </r>
  <r>
    <d v="2025-12-24T00:00:00"/>
    <x v="4"/>
    <x v="2"/>
    <m/>
    <x v="11"/>
    <s v="NEFT/PANDURANGAN/TMBLH25358126777"/>
    <n v="0.2"/>
    <n v="0"/>
  </r>
  <r>
    <d v="2025-12-24T00:00:00"/>
    <x v="4"/>
    <x v="7"/>
    <m/>
    <x v="62"/>
    <s v="210700250122301 - Loan Payoff (Ref# 1568805)"/>
    <n v="13.95294"/>
    <n v="0"/>
  </r>
  <r>
    <d v="2025-12-24T00:00:00"/>
    <x v="4"/>
    <x v="0"/>
    <m/>
    <x v="6"/>
    <s v="TR/CHEPA/K S S ENRTERPRISES"/>
    <n v="0"/>
    <n v="5"/>
  </r>
  <r>
    <d v="2025-12-25T00:00:00"/>
    <x v="4"/>
    <x v="0"/>
    <m/>
    <x v="2"/>
    <s v="RTGS/MTC BUSINESS/HDFCR52025122599131741"/>
    <n v="0"/>
    <n v="4.2357500000000003"/>
  </r>
  <r>
    <d v="2025-12-26T00:00:00"/>
    <x v="4"/>
    <x v="2"/>
    <m/>
    <x v="3"/>
    <s v="RTGS/SAMVARDHANA /TMBLR52025122600313891 (Ref# 1568806)"/>
    <n v="10"/>
    <n v="0"/>
  </r>
  <r>
    <d v="2025-12-30T00:00:00"/>
    <x v="4"/>
    <x v="1"/>
    <m/>
    <x v="1"/>
    <s v="TR/CHEPA/VEERA INDUSTRIES"/>
    <n v="0"/>
    <n v="0.5"/>
  </r>
  <r>
    <d v="2025-12-30T00:00:00"/>
    <x v="4"/>
    <x v="2"/>
    <m/>
    <x v="6"/>
    <s v="TR/CHEPA/K S S ENTERPRISES (Ref# 1568807)"/>
    <n v="0.5"/>
    <n v="0"/>
  </r>
  <r>
    <d v="2025-12-31T00:00:00"/>
    <x v="4"/>
    <x v="0"/>
    <m/>
    <x v="33"/>
    <s v="RTGS/SRI AMBAL TR/ICICR42025123100518077"/>
    <n v="0"/>
    <n v="8"/>
  </r>
  <r>
    <d v="2025-12-31T00:00:00"/>
    <x v="4"/>
    <x v="2"/>
    <m/>
    <x v="3"/>
    <s v="RTGS/SAMVARDHANA /TMBLR52025123100854651 (Ref# 1568808)"/>
    <n v="7"/>
    <n v="0"/>
  </r>
  <r>
    <d v="2025-12-31T00:00:00"/>
    <x v="4"/>
    <x v="1"/>
    <m/>
    <x v="1"/>
    <s v="TR/CHEPA/VEERA INDUSTRIES (Ref# 1568809)"/>
    <n v="1"/>
    <n v="0"/>
  </r>
  <r>
    <d v="2025-12-31T00:00:00"/>
    <x v="4"/>
    <x v="0"/>
    <m/>
    <x v="26"/>
    <s v="RTGS/SRISAIENTERP/HDFCR52025123151562542"/>
    <n v="0"/>
    <n v="50"/>
  </r>
  <r>
    <d v="2025-12-31T00:00:00"/>
    <x v="4"/>
    <x v="2"/>
    <m/>
    <x v="15"/>
    <s v="RTGS/SMS And Assemblies/TMBLR52025123100890004"/>
    <n v="18.942"/>
    <n v="0"/>
  </r>
  <r>
    <d v="2026-01-01T00:00:00"/>
    <x v="5"/>
    <x v="10"/>
    <m/>
    <x v="61"/>
    <s v="NEFT/ITDTAX REFUND 2021/SBIN226001093615"/>
    <n v="0"/>
    <n v="0.82443"/>
  </r>
  <r>
    <d v="2026-01-02T00:00:00"/>
    <x v="5"/>
    <x v="3"/>
    <n v="1568810"/>
    <x v="4"/>
    <s v="TR/CHEPA/ILAKIYA (Ref# 1568810)"/>
    <n v="1.1299999999999999"/>
    <n v="0"/>
  </r>
  <r>
    <d v="2026-01-02T00:00:00"/>
    <x v="5"/>
    <x v="2"/>
    <m/>
    <x v="13"/>
    <s v="NEFT/SARANYA V/TMBLH26002108294 (Ref# 1568811)"/>
    <n v="0.33979999999999999"/>
    <n v="0"/>
  </r>
  <r>
    <d v="2026-01-02T00:00:00"/>
    <x v="5"/>
    <x v="2"/>
    <m/>
    <x v="13"/>
    <s v="NEFT/P ERULAPPAN/TMBLH26002130489 (Ref# 1568813)"/>
    <n v="0.23"/>
    <n v="0"/>
  </r>
  <r>
    <d v="2026-01-03T00:00:00"/>
    <x v="5"/>
    <x v="1"/>
    <m/>
    <x v="1"/>
    <s v="TR/CHEPA/VEERA INDUSTRIES (Ref# 1568814)"/>
    <n v="28.5"/>
    <n v="0"/>
  </r>
  <r>
    <d v="2026-01-05T00:00:00"/>
    <x v="5"/>
    <x v="2"/>
    <m/>
    <x v="37"/>
    <s v="eBank/Tr To XAVIERDAS.A / TRANSFER TO Mr.Xavie"/>
    <n v="0.1"/>
    <n v="0"/>
  </r>
  <r>
    <d v="2026-01-05T00:00:00"/>
    <x v="5"/>
    <x v="0"/>
    <m/>
    <x v="33"/>
    <s v="IMPS/SRI AMBAL TRADE/600519296327/ICIC/AFFANMETAL"/>
    <n v="0"/>
    <n v="3"/>
  </r>
  <r>
    <d v="2026-01-06T00:00:00"/>
    <x v="5"/>
    <x v="0"/>
    <m/>
    <x v="33"/>
    <s v="IMPS/SRI AMBAL TRADE/600612505946/ICIC/AFFANMETAL"/>
    <n v="0"/>
    <n v="3"/>
  </r>
  <r>
    <d v="2026-01-06T00:00:00"/>
    <x v="5"/>
    <x v="2"/>
    <m/>
    <x v="15"/>
    <s v="RTGS/SMS And Assemblies/TMBLR52026010600660857"/>
    <n v="7"/>
    <n v="0"/>
  </r>
  <r>
    <d v="2026-01-07T00:00:00"/>
    <x v="5"/>
    <x v="0"/>
    <m/>
    <x v="33"/>
    <s v="IMPS/SRI AMBAL TRADE/600715100467/ICIC/AFFANMETAL"/>
    <n v="0"/>
    <n v="3"/>
  </r>
  <r>
    <d v="2026-01-07T00:00:00"/>
    <x v="5"/>
    <x v="0"/>
    <m/>
    <x v="2"/>
    <s v="RTGS/MTC BUSINESS/HDFCR52026010754353523"/>
    <n v="0"/>
    <n v="4.0185700000000004"/>
  </r>
  <r>
    <d v="2026-01-07T00:00:00"/>
    <x v="5"/>
    <x v="0"/>
    <m/>
    <x v="27"/>
    <s v="RTGS/SRI SUN ENTE/HDFCR52026010754303064"/>
    <n v="0"/>
    <n v="10"/>
  </r>
  <r>
    <d v="2026-01-07T00:00:00"/>
    <x v="5"/>
    <x v="1"/>
    <m/>
    <x v="1"/>
    <s v="TR/CHEPA/VEERA INDUSTRIES (Ref# 1568817)"/>
    <n v="1.5"/>
    <n v="0"/>
  </r>
  <r>
    <d v="2026-01-07T00:00:00"/>
    <x v="5"/>
    <x v="5"/>
    <m/>
    <x v="20"/>
    <s v="TIN/26010600333852/TAX (Ref# 1568816)"/>
    <n v="0.43293999999999999"/>
    <n v="0"/>
  </r>
  <r>
    <d v="2026-01-07T00:00:00"/>
    <x v="5"/>
    <x v="5"/>
    <m/>
    <x v="20"/>
    <s v="TIN/26010600331997/TAX (Ref# 1568815)"/>
    <n v="3.2337600000000002"/>
    <n v="0"/>
  </r>
  <r>
    <d v="2026-01-08T00:00:00"/>
    <x v="5"/>
    <x v="2"/>
    <m/>
    <x v="3"/>
    <s v="RTGS/SAMVARDHANA /TMBLR52026010800934854 (Ref# 1568818)"/>
    <n v="12"/>
    <n v="0"/>
  </r>
  <r>
    <d v="2026-01-08T00:00:00"/>
    <x v="5"/>
    <x v="0"/>
    <m/>
    <x v="2"/>
    <s v="RTGS/MTC BUSINESS/HDFCR52026010854784957"/>
    <n v="0"/>
    <n v="9.0035299999999996"/>
  </r>
  <r>
    <d v="2026-01-08T00:00:00"/>
    <x v="5"/>
    <x v="2"/>
    <m/>
    <x v="15"/>
    <s v="RTGS/SMS And Assemblies/TMBLR52026010800961107"/>
    <n v="9"/>
    <n v="0"/>
  </r>
  <r>
    <d v="2026-01-08T00:00:00"/>
    <x v="5"/>
    <x v="1"/>
    <m/>
    <x v="1"/>
    <s v="eBank/Tr From VEERA INDUSTRIES / trf"/>
    <n v="0"/>
    <n v="16"/>
  </r>
  <r>
    <d v="2026-01-08T00:00:00"/>
    <x v="5"/>
    <x v="2"/>
    <m/>
    <x v="15"/>
    <s v="RTGS/SMS And Assemblies/TMBLR52026010800002043"/>
    <n v="10"/>
    <n v="0"/>
  </r>
  <r>
    <d v="2026-01-08T00:00:00"/>
    <x v="5"/>
    <x v="2"/>
    <m/>
    <x v="8"/>
    <s v="NEFT/RAMAJAYAM/TMBLH26008002138"/>
    <n v="1.9133"/>
    <n v="0"/>
  </r>
  <r>
    <d v="2026-01-08T00:00:00"/>
    <x v="5"/>
    <x v="2"/>
    <m/>
    <x v="9"/>
    <s v="NEFT/SARAVANAN M/TMBLH26008002166"/>
    <n v="1.26528"/>
    <n v="0"/>
  </r>
  <r>
    <d v="2026-01-08T00:00:00"/>
    <x v="5"/>
    <x v="2"/>
    <m/>
    <x v="10"/>
    <s v="NEFT/KANNAN/TMBLH26008002256"/>
    <n v="0.69306000000000001"/>
    <n v="0"/>
  </r>
  <r>
    <d v="2026-01-08T00:00:00"/>
    <x v="5"/>
    <x v="2"/>
    <m/>
    <x v="11"/>
    <s v="NEFT/PANDURANGAN/TMBLH26008002290"/>
    <n v="0.82399999999999995"/>
    <n v="0"/>
  </r>
  <r>
    <d v="2026-01-08T00:00:00"/>
    <x v="5"/>
    <x v="2"/>
    <m/>
    <x v="12"/>
    <s v="NEFT/vinod kumar/TMBLH26008002334"/>
    <n v="0.66"/>
    <n v="0"/>
  </r>
  <r>
    <d v="2026-01-09T00:00:00"/>
    <x v="5"/>
    <x v="0"/>
    <m/>
    <x v="33"/>
    <s v="IMPS/SRI AMBAL TRADE/600910805656/ICIC/AFFANMETAL"/>
    <n v="0"/>
    <n v="2"/>
  </r>
  <r>
    <d v="2026-01-09T00:00:00"/>
    <x v="5"/>
    <x v="1"/>
    <m/>
    <x v="1"/>
    <s v="TR/CHEPA/VEERA INDUSTRIES"/>
    <n v="0"/>
    <n v="22"/>
  </r>
  <r>
    <d v="2026-01-09T00:00:00"/>
    <x v="5"/>
    <x v="2"/>
    <m/>
    <x v="3"/>
    <s v="NEFT/SAMVARDHANA MOTHER/TMBLH26009100357 (Ref# 1568822)"/>
    <n v="0.26787"/>
    <n v="0"/>
  </r>
  <r>
    <d v="2026-01-09T00:00:00"/>
    <x v="5"/>
    <x v="2"/>
    <m/>
    <x v="3"/>
    <s v="RTGS/SAMVARDHANA /TMBLR52026010900100428 (Ref# 1568821)"/>
    <n v="20"/>
    <n v="0"/>
  </r>
  <r>
    <d v="2026-01-09T00:00:00"/>
    <x v="5"/>
    <x v="2"/>
    <m/>
    <x v="6"/>
    <s v="TR/CHEPA/K S S ENTERPRISES (Ref# 1568819)"/>
    <n v="0.7"/>
    <n v="0"/>
  </r>
  <r>
    <d v="2026-01-09T00:00:00"/>
    <x v="5"/>
    <x v="0"/>
    <m/>
    <x v="27"/>
    <s v="RTGS/SRI SUN ENTE/HDFCR52026010955197665"/>
    <n v="0"/>
    <n v="10"/>
  </r>
  <r>
    <d v="2026-01-09T00:00:00"/>
    <x v="5"/>
    <x v="2"/>
    <m/>
    <x v="6"/>
    <s v="eBank/Tr To K S S ENTERPRISES / TRF"/>
    <n v="0.1"/>
    <n v="0"/>
  </r>
  <r>
    <d v="2026-01-09T00:00:00"/>
    <x v="5"/>
    <x v="5"/>
    <m/>
    <x v="20"/>
    <s v="NEFT/GST/TMBLH26009123897 (Ref# 1568820)"/>
    <n v="0.55813999999999997"/>
    <n v="0"/>
  </r>
  <r>
    <d v="2026-01-09T00:00:00"/>
    <x v="5"/>
    <x v="3"/>
    <n v="1568823"/>
    <x v="14"/>
    <s v="NEFT/G PREETHI/TMBLH26009144793 (Ref# 1568823)"/>
    <n v="1"/>
    <n v="0"/>
  </r>
  <r>
    <d v="2026-01-09T00:00:00"/>
    <x v="5"/>
    <x v="2"/>
    <m/>
    <x v="28"/>
    <s v="NEFT/TAMILSELVAN G/TMBLH26009144901 (Ref# 1568824)"/>
    <n v="0.1"/>
    <n v="0"/>
  </r>
  <r>
    <d v="2026-01-09T00:00:00"/>
    <x v="5"/>
    <x v="3"/>
    <n v="1568825"/>
    <x v="32"/>
    <s v="NEFT/A ARUL/TMBLH26009149808 (Ref# 1568825)"/>
    <n v="0.2"/>
    <n v="0"/>
  </r>
  <r>
    <d v="2026-01-10T00:00:00"/>
    <x v="5"/>
    <x v="0"/>
    <m/>
    <x v="2"/>
    <s v="RTGS/MTC BUSINESS/HDFCR52026011055661665"/>
    <n v="0"/>
    <n v="5.5211699999999997"/>
  </r>
  <r>
    <d v="2026-01-10T00:00:00"/>
    <x v="5"/>
    <x v="2"/>
    <m/>
    <x v="13"/>
    <s v="eBank/642258431/MR.XAVIER HOME EB"/>
    <n v="4.7854000000000004E-3"/>
    <n v="0"/>
  </r>
  <r>
    <d v="2026-01-12T00:00:00"/>
    <x v="5"/>
    <x v="7"/>
    <m/>
    <x v="25"/>
    <s v="Loan Coll. To -210700850100057"/>
    <n v="0.42004000000000002"/>
    <n v="0"/>
  </r>
  <r>
    <d v="2026-01-12T00:00:00"/>
    <x v="5"/>
    <x v="0"/>
    <m/>
    <x v="2"/>
    <s v="RTGS/MTC BUSINESS/HDFCR52026011255989818"/>
    <n v="0"/>
    <n v="16.489100000000001"/>
  </r>
  <r>
    <d v="2026-01-12T00:00:00"/>
    <x v="5"/>
    <x v="1"/>
    <m/>
    <x v="1"/>
    <s v="TR/CHEPA/VEERA INDUSTRIES"/>
    <n v="0"/>
    <n v="15"/>
  </r>
  <r>
    <d v="2026-01-12T00:00:00"/>
    <x v="5"/>
    <x v="2"/>
    <m/>
    <x v="6"/>
    <s v="TR/CHEPA/K S S ENTERPRISES (Ref# 1568827)"/>
    <n v="0.45"/>
    <n v="0"/>
  </r>
  <r>
    <d v="2026-01-12T00:00:00"/>
    <x v="5"/>
    <x v="7"/>
    <m/>
    <x v="63"/>
    <s v="JL Disp 210700300100320"/>
    <n v="0"/>
    <n v="3.5"/>
  </r>
  <r>
    <d v="2026-01-12T00:00:00"/>
    <x v="5"/>
    <x v="5"/>
    <m/>
    <x v="40"/>
    <s v="Appraiser fee"/>
    <n v="2E-3"/>
    <n v="0"/>
  </r>
  <r>
    <d v="2026-01-12T00:00:00"/>
    <x v="5"/>
    <x v="3"/>
    <n v="1568830"/>
    <x v="32"/>
    <s v="RTGS/ARUL A/TMBLR52026011200400739 (Ref# 1568830)"/>
    <n v="3.5"/>
    <n v="0"/>
  </r>
  <r>
    <d v="2026-01-12T00:00:00"/>
    <x v="5"/>
    <x v="2"/>
    <m/>
    <x v="3"/>
    <s v="RTGS/SAMVARDHANA /TMBLR52026011200430745 (Ref# 1568828)"/>
    <n v="29.606110000000001"/>
    <n v="0"/>
  </r>
  <r>
    <d v="2026-01-12T00:00:00"/>
    <x v="5"/>
    <x v="2"/>
    <m/>
    <x v="8"/>
    <s v="RTGS/RAMAJAYAM/TMBLR52026011200441122"/>
    <n v="2"/>
    <n v="0"/>
  </r>
  <r>
    <d v="2026-01-12T00:00:00"/>
    <x v="5"/>
    <x v="2"/>
    <m/>
    <x v="11"/>
    <s v="NEFT/PANDURANGAN/TMBLH26012441597"/>
    <n v="1"/>
    <n v="0"/>
  </r>
  <r>
    <d v="2026-01-13T00:00:00"/>
    <x v="5"/>
    <x v="7"/>
    <m/>
    <x v="64"/>
    <s v="JL Disp 210700300100323"/>
    <n v="0"/>
    <n v="3.35"/>
  </r>
  <r>
    <d v="2026-01-13T00:00:00"/>
    <x v="5"/>
    <x v="5"/>
    <m/>
    <x v="40"/>
    <s v="Appraiser fee"/>
    <n v="2E-3"/>
    <n v="0"/>
  </r>
  <r>
    <d v="2026-01-13T00:00:00"/>
    <x v="5"/>
    <x v="0"/>
    <m/>
    <x v="2"/>
    <s v="RTGS/MTC BUSINESS/HDFCR52026011356493697"/>
    <n v="0"/>
    <n v="8.4119700000000002"/>
  </r>
  <r>
    <d v="2026-01-13T00:00:00"/>
    <x v="5"/>
    <x v="3"/>
    <n v="1568832"/>
    <x v="32"/>
    <s v="RTGS/ARUL A/TMBLR52026011300553415 (Ref# 1568832)"/>
    <n v="3.35"/>
    <n v="0"/>
  </r>
  <r>
    <d v="2026-01-13T00:00:00"/>
    <x v="5"/>
    <x v="2"/>
    <m/>
    <x v="3"/>
    <s v="RTGS/SAMVARDHANA /TMBLR52026011300575963 (Ref# 1568831)"/>
    <n v="20"/>
    <n v="0"/>
  </r>
  <r>
    <d v="2026-01-13T00:00:00"/>
    <x v="5"/>
    <x v="1"/>
    <m/>
    <x v="1"/>
    <s v="TR/CHEPA/VEERA INDUSTRIES"/>
    <n v="0"/>
    <n v="5"/>
  </r>
  <r>
    <d v="2026-01-13T00:00:00"/>
    <x v="5"/>
    <x v="1"/>
    <m/>
    <x v="1"/>
    <s v="eBank/Tr From VEERA INDUSTRIES / Trf"/>
    <n v="0"/>
    <n v="5"/>
  </r>
  <r>
    <d v="2026-01-13T00:00:00"/>
    <x v="5"/>
    <x v="10"/>
    <m/>
    <x v="65"/>
    <s v="eBank/642768421/building approval"/>
    <n v="10.105"/>
    <n v="0"/>
  </r>
  <r>
    <d v="2026-01-13T00:00:00"/>
    <x v="5"/>
    <x v="0"/>
    <m/>
    <x v="27"/>
    <s v="RTGS/SRI SUN ENTE/HDFCR52026011356629185"/>
    <n v="0"/>
    <n v="10"/>
  </r>
  <r>
    <d v="2026-01-13T00:00:00"/>
    <x v="5"/>
    <x v="2"/>
    <m/>
    <x v="6"/>
    <s v="eBank/Tr To K S S ENTERPRISES / TRANSFER TO KSS"/>
    <n v="0.77"/>
    <n v="0"/>
  </r>
  <r>
    <d v="2026-01-13T00:00:00"/>
    <x v="5"/>
    <x v="2"/>
    <m/>
    <x v="66"/>
    <s v="TR/CHEPA/MARIYA CHRISTY RATHIKA (Ref# 1568833)"/>
    <n v="1"/>
    <n v="0"/>
  </r>
  <r>
    <d v="2026-01-14T00:00:00"/>
    <x v="5"/>
    <x v="0"/>
    <m/>
    <x v="33"/>
    <s v="IMPS/SRI AMBAL TRADE/601410408352/ICIC/AFFANMETAL"/>
    <n v="0"/>
    <n v="3"/>
  </r>
  <r>
    <d v="2026-01-14T00:00:00"/>
    <x v="5"/>
    <x v="2"/>
    <m/>
    <x v="3"/>
    <s v="RTGS/SAMVARDHANA /TMBLR52026011400705972 (Ref# 1568834)"/>
    <n v="12"/>
    <n v="0"/>
  </r>
  <r>
    <d v="2026-01-14T00:00:00"/>
    <x v="5"/>
    <x v="0"/>
    <m/>
    <x v="2"/>
    <s v="RTGS/MTC BUSINESS/HDFCR52026011456976207"/>
    <n v="0"/>
    <n v="4.6189600000000004"/>
  </r>
  <r>
    <d v="2026-01-14T00:00:00"/>
    <x v="5"/>
    <x v="2"/>
    <m/>
    <x v="37"/>
    <s v="eBank/Tr To XAVIERDAS.A / Transfer to Mr.Xavie"/>
    <n v="0.5"/>
    <n v="0"/>
  </r>
  <r>
    <d v="2026-01-14T00:00:00"/>
    <x v="5"/>
    <x v="1"/>
    <m/>
    <x v="1"/>
    <s v="TR/CHEPA/VEERA INDUSTRIES (Ref# 1568835)"/>
    <n v="5"/>
    <n v="0"/>
  </r>
  <r>
    <d v="2026-01-15T00:00:00"/>
    <x v="5"/>
    <x v="0"/>
    <m/>
    <x v="26"/>
    <s v="NEFT/SRI SAI ENTERPRISE/HDFCH00742148546"/>
    <n v="0"/>
    <n v="3.7442638000000001"/>
  </r>
  <r>
    <d v="2026-01-15T00:00:00"/>
    <x v="5"/>
    <x v="0"/>
    <m/>
    <x v="26"/>
    <s v="NEFT/SRI SAI ENTERPRISE/HDFCH00742144117"/>
    <n v="0"/>
    <n v="2.5303523999999999"/>
  </r>
  <r>
    <d v="2026-01-15T00:00:00"/>
    <x v="5"/>
    <x v="0"/>
    <m/>
    <x v="26"/>
    <s v="NEFT/SRI SAI ENTERPRISE/HDFCH00742142032"/>
    <n v="0"/>
    <n v="3.9017262000000001"/>
  </r>
  <r>
    <d v="2026-01-17T00:00:00"/>
    <x v="5"/>
    <x v="0"/>
    <m/>
    <x v="2"/>
    <s v="RTGS/MTC BUSINESS/HDFCR52026011758150944"/>
    <n v="0"/>
    <n v="7.1544499999999998"/>
  </r>
  <r>
    <d v="2026-01-17T00:00:00"/>
    <x v="5"/>
    <x v="2"/>
    <m/>
    <x v="13"/>
    <s v="eBank/643301401/OFFICE EB"/>
    <n v="7.5095399999999993E-2"/>
    <n v="0"/>
  </r>
  <r>
    <d v="2026-01-19T00:00:00"/>
    <x v="5"/>
    <x v="2"/>
    <m/>
    <x v="15"/>
    <s v="RTGS/SMS And Assemblies/TMBLR52026011900103616"/>
    <n v="10"/>
    <n v="0"/>
  </r>
  <r>
    <m/>
    <x v="6"/>
    <x v="11"/>
    <m/>
    <x v="67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7">
  <r>
    <d v="2025-08-01T00:00:00"/>
    <x v="0"/>
    <x v="0"/>
    <m/>
    <x v="0"/>
    <s v="TR/CHEPA/AFFAN METALS"/>
    <n v="0"/>
    <n v="2.95"/>
  </r>
  <r>
    <d v="2025-08-01T00:00:00"/>
    <x v="0"/>
    <x v="1"/>
    <m/>
    <x v="1"/>
    <s v="Bill Id:[210DBP2600010]:PURCHASE"/>
    <n v="0"/>
    <n v="19.1098"/>
  </r>
  <r>
    <d v="2025-08-01T00:00:00"/>
    <x v="0"/>
    <x v="1"/>
    <m/>
    <x v="1"/>
    <s v="Bill Id:[210DBP2600010]:Interest Income A/c"/>
    <n v="0.30047499999999999"/>
    <n v="0"/>
  </r>
  <r>
    <d v="2025-08-01T00:00:00"/>
    <x v="0"/>
    <x v="2"/>
    <m/>
    <x v="2"/>
    <s v="TO/CHQ BOOK ISSUE CHARGES"/>
    <n v="8.8500000000000002E-3"/>
    <n v="0"/>
  </r>
  <r>
    <d v="2025-08-01T00:00:00"/>
    <x v="0"/>
    <x v="3"/>
    <m/>
    <x v="3"/>
    <s v="NEFT/THE KCP LTD/TMBLH25213479485 (Ref# 1524746)"/>
    <n v="0.53942000000000001"/>
    <n v="0"/>
  </r>
  <r>
    <d v="2025-08-01T00:00:00"/>
    <x v="0"/>
    <x v="0"/>
    <m/>
    <x v="0"/>
    <s v="TR/CHEPA/AFFAN METALS (Ref# 1524745)"/>
    <n v="18"/>
    <n v="0"/>
  </r>
  <r>
    <d v="2025-08-02T00:00:00"/>
    <x v="0"/>
    <x v="0"/>
    <m/>
    <x v="0"/>
    <s v="TR/CHEPA/AFFAN METALS (Ref# 1524748)"/>
    <n v="0.1"/>
    <n v="0"/>
  </r>
  <r>
    <d v="2025-08-02T00:00:00"/>
    <x v="0"/>
    <x v="4"/>
    <m/>
    <x v="4"/>
    <s v="RTGS/ACHARYA STEE/HDFCR52025080297215695"/>
    <n v="0"/>
    <n v="50"/>
  </r>
  <r>
    <d v="2025-08-02T00:00:00"/>
    <x v="0"/>
    <x v="3"/>
    <m/>
    <x v="5"/>
    <s v="NEFT/MOHANDOSS PARAMASI/TMBLH25214604509 (Ref# 1524747)"/>
    <n v="0.12"/>
    <n v="0"/>
  </r>
  <r>
    <d v="2025-08-04T00:00:00"/>
    <x v="0"/>
    <x v="0"/>
    <m/>
    <x v="0"/>
    <s v="TR/CHEPA/AFFAN METALS (Ref# 1524749)"/>
    <n v="42"/>
    <n v="0"/>
  </r>
  <r>
    <d v="2025-08-04T00:00:00"/>
    <x v="0"/>
    <x v="4"/>
    <m/>
    <x v="4"/>
    <s v="RTGS/ACHARYA STEE/HDFCR52025080497334713"/>
    <n v="0"/>
    <n v="60"/>
  </r>
  <r>
    <d v="2025-08-04T00:00:00"/>
    <x v="0"/>
    <x v="3"/>
    <m/>
    <x v="6"/>
    <s v="NEFT/RAM NARAYAN/TMBLH25216779383 (Ref# 1524750)"/>
    <n v="0.13500000000000001"/>
    <n v="0"/>
  </r>
  <r>
    <d v="2025-08-04T00:00:00"/>
    <x v="0"/>
    <x v="5"/>
    <m/>
    <x v="7"/>
    <s v="eBank/Tr To VEERA PROPERTIES / VEERA P"/>
    <n v="10"/>
    <n v="0"/>
  </r>
  <r>
    <d v="2025-08-04T00:00:00"/>
    <x v="0"/>
    <x v="3"/>
    <m/>
    <x v="8"/>
    <s v="NEFT/D J ARCHITECTS/TMBLH25216790086 (Ref# 1541762)"/>
    <n v="2"/>
    <n v="0"/>
  </r>
  <r>
    <d v="2025-08-04T00:00:00"/>
    <x v="0"/>
    <x v="0"/>
    <m/>
    <x v="0"/>
    <s v="eBank/Tr To AFFAN METALS / TRANSFER TO AFFAN"/>
    <n v="15"/>
    <n v="0"/>
  </r>
  <r>
    <d v="2025-08-04T00:00:00"/>
    <x v="0"/>
    <x v="3"/>
    <m/>
    <x v="9"/>
    <s v="RTGS/VENUS INFRA /TMBLR52025080400799445 (Ref# 1541761)"/>
    <n v="5.6052900000000001"/>
    <n v="0"/>
  </r>
  <r>
    <d v="2025-08-05T00:00:00"/>
    <x v="0"/>
    <x v="3"/>
    <m/>
    <x v="10"/>
    <s v="NEFT/Jagan Durai/TMBLH25217913036"/>
    <n v="0.2"/>
    <n v="0"/>
  </r>
  <r>
    <d v="2025-08-05T00:00:00"/>
    <x v="0"/>
    <x v="2"/>
    <m/>
    <x v="11"/>
    <s v="eBank/Tr To RAJASEKARAN RAVICHANDRAN / SALARY"/>
    <n v="0.22"/>
    <n v="0"/>
  </r>
  <r>
    <d v="2025-08-05T00:00:00"/>
    <x v="0"/>
    <x v="3"/>
    <m/>
    <x v="12"/>
    <s v="NEFT/ANAND T/TMBLH25217913218"/>
    <n v="0.45"/>
    <n v="0"/>
  </r>
  <r>
    <d v="2025-08-05T00:00:00"/>
    <x v="0"/>
    <x v="5"/>
    <m/>
    <x v="7"/>
    <s v="TR/CHEPA/VEERA PROPERTIES (Ref# 1541764)"/>
    <n v="25"/>
    <n v="0"/>
  </r>
  <r>
    <d v="2025-08-05T00:00:00"/>
    <x v="0"/>
    <x v="3"/>
    <m/>
    <x v="13"/>
    <s v="TR/CHEPA/DEVARAJU RAJAMANIKKAM (Ref# 1541763)"/>
    <n v="0.3"/>
    <n v="0"/>
  </r>
  <r>
    <d v="2025-08-05T00:00:00"/>
    <x v="0"/>
    <x v="3"/>
    <m/>
    <x v="14"/>
    <s v="NEFT/JUBILENT MOTORWORK/TMBLH25217917368 (Ref# 1541765)"/>
    <n v="1.15534"/>
    <n v="0"/>
  </r>
  <r>
    <d v="2025-08-05T00:00:00"/>
    <x v="0"/>
    <x v="2"/>
    <m/>
    <x v="15"/>
    <s v="eBank/613284101/FACTORY EB BILL"/>
    <n v="0.5518054"/>
    <n v="0"/>
  </r>
  <r>
    <d v="2025-08-05T00:00:00"/>
    <x v="0"/>
    <x v="3"/>
    <m/>
    <x v="13"/>
    <s v="eBank/613284551/R.A PURAM EB"/>
    <n v="3.67754E-2"/>
    <n v="0"/>
  </r>
  <r>
    <d v="2025-08-05T00:00:00"/>
    <x v="0"/>
    <x v="0"/>
    <m/>
    <x v="0"/>
    <s v="TR/CHEPA/AFFAN METALS"/>
    <n v="0"/>
    <n v="18"/>
  </r>
  <r>
    <d v="2025-08-05T00:00:00"/>
    <x v="0"/>
    <x v="5"/>
    <m/>
    <x v="7"/>
    <s v="TR/CHEPA/VEERA PROPERTIES (Ref# 1541766)"/>
    <n v="25"/>
    <n v="0"/>
  </r>
  <r>
    <d v="2025-08-06T00:00:00"/>
    <x v="0"/>
    <x v="0"/>
    <m/>
    <x v="0"/>
    <s v="eBank/Tr From AFFAN METALS / TRANSFER TO VEERA"/>
    <n v="0"/>
    <n v="25"/>
  </r>
  <r>
    <d v="2025-08-06T00:00:00"/>
    <x v="0"/>
    <x v="5"/>
    <m/>
    <x v="7"/>
    <s v="eBank/Tr To VEERA PROPERTIES / VEERA P"/>
    <n v="25"/>
    <n v="0"/>
  </r>
  <r>
    <d v="2025-08-06T00:00:00"/>
    <x v="0"/>
    <x v="0"/>
    <m/>
    <x v="0"/>
    <s v="eBank/Tr From AFFAN METALS / TRANSFER TO VEERA"/>
    <n v="0"/>
    <n v="3"/>
  </r>
  <r>
    <d v="2025-08-06T00:00:00"/>
    <x v="0"/>
    <x v="2"/>
    <m/>
    <x v="16"/>
    <s v="eBank/CBDT/25080600697409"/>
    <n v="1.3251500000000001"/>
    <n v="0"/>
  </r>
  <r>
    <d v="2025-08-06T00:00:00"/>
    <x v="0"/>
    <x v="2"/>
    <m/>
    <x v="16"/>
    <s v="eBank/CBDT/25080600701516"/>
    <n v="9.5200000000000007E-3"/>
    <n v="0"/>
  </r>
  <r>
    <d v="2025-08-07T00:00:00"/>
    <x v="0"/>
    <x v="5"/>
    <m/>
    <x v="7"/>
    <s v="TR/CHEPA/VEERA PROPERIES (Ref# 1541767)"/>
    <n v="1.5"/>
    <n v="0"/>
  </r>
  <r>
    <d v="2025-08-07T00:00:00"/>
    <x v="0"/>
    <x v="3"/>
    <m/>
    <x v="6"/>
    <s v="NEFT/RAM NARAYAN/TMBLH25219250831"/>
    <n v="0.71"/>
    <n v="0"/>
  </r>
  <r>
    <d v="2025-08-07T00:00:00"/>
    <x v="0"/>
    <x v="0"/>
    <m/>
    <x v="0"/>
    <s v="TR/CHEPA/AFFAN METALS"/>
    <n v="0"/>
    <n v="4"/>
  </r>
  <r>
    <d v="2025-08-07T00:00:00"/>
    <x v="0"/>
    <x v="5"/>
    <m/>
    <x v="7"/>
    <s v="TR/CHEPA/VEERA PROPERTIES (Ref# 1541768)"/>
    <n v="4"/>
    <n v="0"/>
  </r>
  <r>
    <d v="2025-08-08T00:00:00"/>
    <x v="0"/>
    <x v="4"/>
    <m/>
    <x v="17"/>
    <s v="RTGS/S B METALS/CBINR52025080810007608"/>
    <n v="0"/>
    <n v="13.792669999999999"/>
  </r>
  <r>
    <d v="2025-08-08T00:00:00"/>
    <x v="0"/>
    <x v="6"/>
    <m/>
    <x v="18"/>
    <s v="CS/CHEPA/SELF (Ref# 1524751)"/>
    <n v="1.5"/>
    <n v="0"/>
  </r>
  <r>
    <d v="2025-08-11T00:00:00"/>
    <x v="0"/>
    <x v="0"/>
    <m/>
    <x v="0"/>
    <s v="TR/CHEPA/AFFAN METALS (Ref# 1541769)"/>
    <n v="10"/>
    <n v="0"/>
  </r>
  <r>
    <d v="2025-08-11T00:00:00"/>
    <x v="0"/>
    <x v="3"/>
    <m/>
    <x v="19"/>
    <s v="eBank/Tr To RAJASEKARAN RAVICHANDRAN / TRF"/>
    <n v="0.32"/>
    <n v="0"/>
  </r>
  <r>
    <d v="2025-08-11T00:00:00"/>
    <x v="0"/>
    <x v="3"/>
    <m/>
    <x v="20"/>
    <s v="NEFT/PANDURANGAN/TMBLH25223674180 (Ref# 1541770)"/>
    <n v="0.15844"/>
    <n v="0"/>
  </r>
  <r>
    <d v="2025-08-12T00:00:00"/>
    <x v="0"/>
    <x v="4"/>
    <m/>
    <x v="21"/>
    <s v="RTGS/S M STEEL AL/UTIBR62025081219015537"/>
    <n v="0"/>
    <n v="4.75"/>
  </r>
  <r>
    <d v="2025-08-12T00:00:00"/>
    <x v="0"/>
    <x v="7"/>
    <m/>
    <x v="22"/>
    <s v="INW CHQ RET CHRGS/1503640/12082025/002CTS"/>
    <n v="2.2124999999999999E-2"/>
    <n v="0"/>
  </r>
  <r>
    <d v="2025-08-12T00:00:00"/>
    <x v="0"/>
    <x v="7"/>
    <m/>
    <x v="22"/>
    <s v="INW CHQ RET CHRGS/1503639/12082025/065CTS"/>
    <n v="2.2124999999999999E-2"/>
    <n v="0"/>
  </r>
  <r>
    <d v="2025-08-12T00:00:00"/>
    <x v="0"/>
    <x v="4"/>
    <m/>
    <x v="21"/>
    <s v="RTGS/S M STEEL AL/UTIBR62025081219038952"/>
    <n v="0"/>
    <n v="9"/>
  </r>
  <r>
    <d v="2025-08-12T00:00:00"/>
    <x v="0"/>
    <x v="0"/>
    <m/>
    <x v="0"/>
    <s v="eBank/Tr From AFFAN METALS / TRF"/>
    <n v="0"/>
    <n v="10"/>
  </r>
  <r>
    <d v="2025-08-12T00:00:00"/>
    <x v="0"/>
    <x v="8"/>
    <m/>
    <x v="23"/>
    <s v="RTGS/ROYAL AGENCY/TMBLR52025081200801260 (Ref# 1541772)"/>
    <n v="12.5"/>
    <n v="0"/>
  </r>
  <r>
    <d v="2025-08-12T00:00:00"/>
    <x v="0"/>
    <x v="8"/>
    <m/>
    <x v="24"/>
    <s v="RTGS/CROWN TRADER/TMBLR52025081200801322 (Ref# 1541773)"/>
    <n v="12.5"/>
    <n v="0"/>
  </r>
  <r>
    <d v="2025-08-13T00:00:00"/>
    <x v="0"/>
    <x v="6"/>
    <m/>
    <x v="18"/>
    <s v="CS/CHEPA/SELF (Ref# 1524752)"/>
    <n v="0.5"/>
    <n v="0"/>
  </r>
  <r>
    <d v="2025-08-14T00:00:00"/>
    <x v="0"/>
    <x v="0"/>
    <m/>
    <x v="0"/>
    <s v="TR/CHEPA/AFFAN METALS"/>
    <n v="0"/>
    <n v="0.5"/>
  </r>
  <r>
    <d v="2025-08-14T00:00:00"/>
    <x v="0"/>
    <x v="3"/>
    <m/>
    <x v="19"/>
    <s v="TR/CHEPA/RAJASEKARAN (Ref# 1541774)"/>
    <n v="0.3"/>
    <n v="0"/>
  </r>
  <r>
    <d v="2025-08-14T00:00:00"/>
    <x v="0"/>
    <x v="0"/>
    <m/>
    <x v="0"/>
    <s v="TR/CHEPA/AFFAN METALS"/>
    <n v="0"/>
    <n v="3"/>
  </r>
  <r>
    <d v="2025-08-14T00:00:00"/>
    <x v="0"/>
    <x v="5"/>
    <m/>
    <x v="7"/>
    <s v="TR/CHEPA/VEERA PROPERTIES (Ref# 1541775)"/>
    <n v="2"/>
    <n v="0"/>
  </r>
  <r>
    <d v="2025-08-14T00:00:00"/>
    <x v="0"/>
    <x v="1"/>
    <m/>
    <x v="1"/>
    <s v="Bill Id:[210DBP2600011]:PURCHASE"/>
    <n v="0"/>
    <n v="11.21543"/>
  </r>
  <r>
    <d v="2025-08-14T00:00:00"/>
    <x v="0"/>
    <x v="1"/>
    <m/>
    <x v="1"/>
    <s v="Bill Id:[210DBP2600011]:Interest Income A/c"/>
    <n v="0.172985"/>
    <n v="0"/>
  </r>
  <r>
    <d v="2025-08-18T00:00:00"/>
    <x v="0"/>
    <x v="0"/>
    <m/>
    <x v="0"/>
    <s v="TR/CHEPA/AFFAN METALS (Ref# 1541778)"/>
    <n v="6"/>
    <n v="0"/>
  </r>
  <r>
    <d v="2025-08-18T00:00:00"/>
    <x v="0"/>
    <x v="2"/>
    <m/>
    <x v="16"/>
    <s v="NEFT/GST/TMBLH25230415577 (Ref# 1541776)"/>
    <n v="2.1"/>
    <n v="0"/>
  </r>
  <r>
    <d v="2025-08-18T00:00:00"/>
    <x v="0"/>
    <x v="5"/>
    <m/>
    <x v="7"/>
    <s v="TR/CHEPA/VEERA PROPERTIES (Ref# 1541777)"/>
    <n v="1"/>
    <n v="0"/>
  </r>
  <r>
    <d v="2025-08-19T00:00:00"/>
    <x v="0"/>
    <x v="0"/>
    <m/>
    <x v="0"/>
    <s v="TR/CHEPA/AFFAN METALS (Ref# 1541779)"/>
    <n v="2"/>
    <n v="0"/>
  </r>
  <r>
    <d v="2025-08-20T00:00:00"/>
    <x v="0"/>
    <x v="4"/>
    <m/>
    <x v="4"/>
    <s v="RTGS/ACHARYA STEE/HDFCR52025082052512549"/>
    <n v="0"/>
    <n v="13"/>
  </r>
  <r>
    <d v="2025-08-20T00:00:00"/>
    <x v="0"/>
    <x v="0"/>
    <m/>
    <x v="0"/>
    <s v="TR/CHEPA/AFFAN METALS (Ref# 1541780)"/>
    <n v="13"/>
    <n v="0"/>
  </r>
  <r>
    <d v="2025-08-20T00:00:00"/>
    <x v="0"/>
    <x v="5"/>
    <m/>
    <x v="7"/>
    <s v="eBank/Tr To VEERA PROPERTIES"/>
    <n v="1"/>
    <n v="0"/>
  </r>
  <r>
    <d v="2025-08-21T00:00:00"/>
    <x v="0"/>
    <x v="8"/>
    <m/>
    <x v="25"/>
    <s v="RTGS/ADIMOOLAM N/ICICR52025082100805504"/>
    <n v="0"/>
    <n v="100"/>
  </r>
  <r>
    <d v="2025-08-21T00:00:00"/>
    <x v="0"/>
    <x v="8"/>
    <m/>
    <x v="25"/>
    <s v="RTGS/ADIMOOLAM N/ICICR52025082100805355"/>
    <n v="0"/>
    <n v="44"/>
  </r>
  <r>
    <d v="2025-08-21T00:00:00"/>
    <x v="0"/>
    <x v="8"/>
    <m/>
    <x v="26"/>
    <s v="RTGS/S GUNA/ICICR42025082100529269"/>
    <n v="0"/>
    <n v="36"/>
  </r>
  <r>
    <d v="2025-08-21T00:00:00"/>
    <x v="0"/>
    <x v="0"/>
    <m/>
    <x v="0"/>
    <s v="eBank/Tr To AFFAN METALS / TRF"/>
    <n v="1"/>
    <n v="0"/>
  </r>
  <r>
    <d v="2025-08-21T00:00:00"/>
    <x v="0"/>
    <x v="3"/>
    <m/>
    <x v="10"/>
    <s v="NEFT/Jagan Durai/TMBLH25233755945"/>
    <n v="1"/>
    <n v="0"/>
  </r>
  <r>
    <d v="2025-08-21T00:00:00"/>
    <x v="0"/>
    <x v="3"/>
    <m/>
    <x v="6"/>
    <s v="NEFT/RAM NARAYAN/TMBLH25233756073"/>
    <n v="1.1299999999999999"/>
    <n v="0"/>
  </r>
  <r>
    <d v="2025-08-21T00:00:00"/>
    <x v="0"/>
    <x v="3"/>
    <m/>
    <x v="27"/>
    <s v="TR/CHEPA/M NAMASIVAYAM (Ref# 1541782)"/>
    <n v="5.85548"/>
    <n v="0"/>
  </r>
  <r>
    <d v="2025-08-21T00:00:00"/>
    <x v="0"/>
    <x v="5"/>
    <m/>
    <x v="7"/>
    <s v="TR/CHEPA/VEERA PROPERTIES (Ref# 1541781)"/>
    <n v="70"/>
    <n v="0"/>
  </r>
  <r>
    <d v="2025-08-22T00:00:00"/>
    <x v="0"/>
    <x v="5"/>
    <m/>
    <x v="7"/>
    <s v="TR/CHEPA/VEERA PROPERTIES (Ref# 1541784)"/>
    <n v="85"/>
    <n v="0"/>
  </r>
  <r>
    <d v="2025-08-22T00:00:00"/>
    <x v="0"/>
    <x v="3"/>
    <m/>
    <x v="28"/>
    <s v="RTGS/PUNITHA G/TMBLR52025082200886031 (Ref# 1541783)"/>
    <n v="5.7141700000000002"/>
    <n v="0"/>
  </r>
  <r>
    <d v="2025-08-22T00:00:00"/>
    <x v="0"/>
    <x v="3"/>
    <m/>
    <x v="29"/>
    <s v="RTGS/SRI AMBAL TR/TMBLR52025082200890448 (Ref# 1541785)"/>
    <n v="10.358980000000001"/>
    <n v="0"/>
  </r>
  <r>
    <d v="2025-08-25T00:00:00"/>
    <x v="0"/>
    <x v="1"/>
    <m/>
    <x v="1"/>
    <s v="Bill Id:[210DBP2600007]:"/>
    <n v="2.7730000000000003E-3"/>
    <n v="0"/>
  </r>
  <r>
    <d v="2025-08-26T00:00:00"/>
    <x v="0"/>
    <x v="0"/>
    <m/>
    <x v="0"/>
    <s v="eBank/Tr From AFFAN METALS"/>
    <n v="0"/>
    <n v="1.25"/>
  </r>
  <r>
    <d v="2025-08-26T00:00:00"/>
    <x v="0"/>
    <x v="0"/>
    <m/>
    <x v="0"/>
    <s v="TR/CHEPA/AFFAN METALS"/>
    <n v="0"/>
    <n v="29"/>
  </r>
  <r>
    <d v="2025-08-26T00:00:00"/>
    <x v="0"/>
    <x v="3"/>
    <m/>
    <x v="30"/>
    <s v="TR/CHEPA/SELVAM V (Ref# 1541786)"/>
    <n v="1.23"/>
    <n v="0"/>
  </r>
  <r>
    <d v="2025-08-26T00:00:00"/>
    <x v="0"/>
    <x v="5"/>
    <m/>
    <x v="7"/>
    <s v="TR/CHEPA/VEERA PROPERTIES (Ref# 1541787)"/>
    <n v="26"/>
    <n v="0"/>
  </r>
  <r>
    <d v="2025-08-26T00:00:00"/>
    <x v="0"/>
    <x v="5"/>
    <m/>
    <x v="7"/>
    <s v="TR/CHEPA/VEERA PROPERTIES (Ref# 1541788)"/>
    <n v="3"/>
    <n v="0"/>
  </r>
  <r>
    <d v="2025-08-30T00:00:00"/>
    <x v="0"/>
    <x v="3"/>
    <m/>
    <x v="3"/>
    <s v="NEFT/THE KCP LTD/TMBLH25242708263 (Ref# 1541789)"/>
    <n v="0.33228000000000002"/>
    <n v="0"/>
  </r>
  <r>
    <d v="2025-08-31T00:00:00"/>
    <x v="0"/>
    <x v="9"/>
    <m/>
    <x v="31"/>
    <s v="210700050900123:Int.Coll:01-08-2025 to 31-08-2025"/>
    <n v="3.36463"/>
    <n v="0"/>
  </r>
  <r>
    <d v="2025-09-02T00:00:00"/>
    <x v="1"/>
    <x v="4"/>
    <m/>
    <x v="4"/>
    <s v="RTGS/ACHARYA STEE/HDFCR52025090256813541"/>
    <n v="0"/>
    <n v="12"/>
  </r>
  <r>
    <d v="2025-09-04T00:00:00"/>
    <x v="1"/>
    <x v="5"/>
    <m/>
    <x v="7"/>
    <s v="TR/CHEPA/VEERA PROPERTIES (Ref# 1563131)"/>
    <n v="5"/>
    <n v="0"/>
  </r>
  <r>
    <d v="2025-09-04T00:00:00"/>
    <x v="1"/>
    <x v="3"/>
    <m/>
    <x v="5"/>
    <s v="NEFT/MOHANDASS PARAMASI/TMBLH25247300833 (Ref# 1563132)"/>
    <n v="0.12"/>
    <n v="0"/>
  </r>
  <r>
    <d v="2025-09-04T00:00:00"/>
    <x v="1"/>
    <x v="1"/>
    <m/>
    <x v="32"/>
    <s v="TIN/25090400175292/TAX (Ref# 1541802)"/>
    <n v="1.282E-2"/>
    <n v="0"/>
  </r>
  <r>
    <d v="2025-09-04T00:00:00"/>
    <x v="1"/>
    <x v="1"/>
    <m/>
    <x v="32"/>
    <s v="TIN/25090400172416/TAX (Ref# 1541801)"/>
    <n v="1.5057499999999999"/>
    <n v="0"/>
  </r>
  <r>
    <d v="2025-09-09T00:00:00"/>
    <x v="1"/>
    <x v="4"/>
    <m/>
    <x v="33"/>
    <s v="IMPS/STAR INDUSTRI/525211566215/FDRL/steel"/>
    <n v="0"/>
    <n v="0.73594000000000004"/>
  </r>
  <r>
    <d v="2025-09-09T00:00:00"/>
    <x v="1"/>
    <x v="3"/>
    <m/>
    <x v="6"/>
    <s v="NEFT/RAM NARAYAN/TMBLH25252905762"/>
    <n v="0.83"/>
    <n v="0"/>
  </r>
  <r>
    <d v="2025-09-09T00:00:00"/>
    <x v="1"/>
    <x v="0"/>
    <m/>
    <x v="0"/>
    <s v="TR/CHEPA/AFFAN METALS"/>
    <n v="0"/>
    <n v="5.5"/>
  </r>
  <r>
    <d v="2025-09-09T00:00:00"/>
    <x v="1"/>
    <x v="3"/>
    <m/>
    <x v="34"/>
    <s v="RTGS/S S S TRADER/TMBLR52025090900926348 (Ref# 1541803)"/>
    <n v="5.5574300000000001"/>
    <n v="0"/>
  </r>
  <r>
    <d v="2025-09-09T00:00:00"/>
    <x v="1"/>
    <x v="3"/>
    <m/>
    <x v="12"/>
    <s v="NEFT/ANAND T/TMBLH25252932782"/>
    <n v="0.45"/>
    <n v="0"/>
  </r>
  <r>
    <d v="2025-09-10T00:00:00"/>
    <x v="1"/>
    <x v="5"/>
    <m/>
    <x v="7"/>
    <s v="TR/CHEPA/VEERA PROPERTIES"/>
    <n v="0"/>
    <n v="1"/>
  </r>
  <r>
    <d v="2025-09-10T00:00:00"/>
    <x v="1"/>
    <x v="1"/>
    <m/>
    <x v="1"/>
    <s v="Bill Id:[210DBP2600013]:PURCHASE"/>
    <n v="0"/>
    <n v="7.2776500000000004"/>
  </r>
  <r>
    <d v="2025-09-10T00:00:00"/>
    <x v="1"/>
    <x v="1"/>
    <m/>
    <x v="1"/>
    <s v="Bill Id:[210DBP2600013]:Interest Income A/c"/>
    <n v="9.0514999999999998E-2"/>
    <n v="0"/>
  </r>
  <r>
    <d v="2025-09-10T00:00:00"/>
    <x v="1"/>
    <x v="1"/>
    <m/>
    <x v="1"/>
    <s v="Bill Id:[210DBP2600012]:Interest Income A/c"/>
    <n v="4.2564200000000003E-2"/>
    <n v="0"/>
  </r>
  <r>
    <d v="2025-09-10T00:00:00"/>
    <x v="1"/>
    <x v="1"/>
    <m/>
    <x v="1"/>
    <s v="Bill Id:[210DBP2600012]:PURCHASE"/>
    <n v="0"/>
    <n v="3.2171500000000002"/>
  </r>
  <r>
    <d v="2025-09-10T00:00:00"/>
    <x v="1"/>
    <x v="2"/>
    <m/>
    <x v="16"/>
    <s v="NEFT/GST/TMBLH25253020014 (Ref# 1541804)"/>
    <n v="0.97587999999999997"/>
    <n v="0"/>
  </r>
  <r>
    <d v="2025-09-10T00:00:00"/>
    <x v="1"/>
    <x v="3"/>
    <m/>
    <x v="13"/>
    <s v="eBank/Tr To AMOUNT PAYABLE TO CASHFREE / sELVAM SI"/>
    <n v="3.6076700000000003E-2"/>
    <n v="0"/>
  </r>
  <r>
    <d v="2025-09-10T00:00:00"/>
    <x v="1"/>
    <x v="2"/>
    <m/>
    <x v="11"/>
    <s v="eBank/Tr To RAJASEKARAN RAVICHANDRAN / Salary"/>
    <n v="0.25"/>
    <n v="0"/>
  </r>
  <r>
    <d v="2025-09-10T00:00:00"/>
    <x v="1"/>
    <x v="3"/>
    <m/>
    <x v="10"/>
    <s v="NEFT/Jagan Durai/TMBLH25253020428"/>
    <n v="0.2"/>
    <n v="0"/>
  </r>
  <r>
    <d v="2025-09-10T00:00:00"/>
    <x v="1"/>
    <x v="0"/>
    <m/>
    <x v="0"/>
    <s v="eBank/Tr To AFFAN METALS / trf"/>
    <n v="8"/>
    <n v="0"/>
  </r>
  <r>
    <d v="2025-09-10T00:00:00"/>
    <x v="1"/>
    <x v="0"/>
    <m/>
    <x v="0"/>
    <s v="eBank/Tr From AFFAN METALS / TRF"/>
    <n v="0"/>
    <n v="5"/>
  </r>
  <r>
    <d v="2025-09-10T00:00:00"/>
    <x v="1"/>
    <x v="5"/>
    <m/>
    <x v="7"/>
    <s v="eBank/Tr To VEERA PROPERTIES / TRF"/>
    <n v="5"/>
    <n v="0"/>
  </r>
  <r>
    <d v="2025-09-10T00:00:00"/>
    <x v="1"/>
    <x v="6"/>
    <m/>
    <x v="18"/>
    <s v="CS/CHEPA/SELF (Ref# 1541810)"/>
    <n v="1.5"/>
    <n v="0"/>
  </r>
  <r>
    <d v="2025-09-12T00:00:00"/>
    <x v="1"/>
    <x v="4"/>
    <m/>
    <x v="4"/>
    <s v="RTGS/ACHARYA STEE/HDFCR52025091260336623"/>
    <n v="0"/>
    <n v="100"/>
  </r>
  <r>
    <d v="2025-09-12T00:00:00"/>
    <x v="1"/>
    <x v="3"/>
    <m/>
    <x v="35"/>
    <s v="RTGS/AROKIYA TRAD/TMBLR52025091200298786 (Ref# 1541805)"/>
    <n v="3.46"/>
    <n v="0"/>
  </r>
  <r>
    <d v="2025-09-12T00:00:00"/>
    <x v="1"/>
    <x v="3"/>
    <m/>
    <x v="36"/>
    <s v="RTGS/OM ENTERPRIS/TMBLR52025091200299133 (Ref# 1541806)"/>
    <n v="3.3759999999999999"/>
    <n v="0"/>
  </r>
  <r>
    <d v="2025-09-12T00:00:00"/>
    <x v="1"/>
    <x v="5"/>
    <m/>
    <x v="7"/>
    <s v="TR/CHEPA/VEERA PROPERTIES (Ref# 1541807)"/>
    <n v="85"/>
    <n v="0"/>
  </r>
  <r>
    <d v="2025-09-15T00:00:00"/>
    <x v="1"/>
    <x v="3"/>
    <m/>
    <x v="37"/>
    <s v="NEFT/PANKAJ ACHARYA/TMBLH25258557461"/>
    <n v="0.8"/>
    <n v="0"/>
  </r>
  <r>
    <d v="2025-09-15T00:00:00"/>
    <x v="1"/>
    <x v="0"/>
    <m/>
    <x v="0"/>
    <s v="TR/CHEPA/AFFAN METALS (Ref# 1541808)"/>
    <n v="8"/>
    <n v="0"/>
  </r>
  <r>
    <d v="2025-09-15T00:00:00"/>
    <x v="1"/>
    <x v="3"/>
    <m/>
    <x v="36"/>
    <s v="NEFT/OM ENTERPRISES/TMBLH25258575684 (Ref# 1563145)"/>
    <n v="0.4"/>
    <n v="0"/>
  </r>
  <r>
    <d v="2025-09-15T00:00:00"/>
    <x v="1"/>
    <x v="10"/>
    <m/>
    <x v="38"/>
    <s v="IFFCO TOKIO GENERA (Ref# 1563144)"/>
    <n v="0.42482999999999999"/>
    <n v="0"/>
  </r>
  <r>
    <d v="2025-09-16T00:00:00"/>
    <x v="1"/>
    <x v="0"/>
    <m/>
    <x v="0"/>
    <s v="TR/CHEPA/AFFAN METALS"/>
    <n v="0"/>
    <n v="25"/>
  </r>
  <r>
    <d v="2025-09-16T00:00:00"/>
    <x v="1"/>
    <x v="5"/>
    <m/>
    <x v="7"/>
    <s v="TR/CHEPA/VEERA PROPERTIES (Ref# 1563146)"/>
    <n v="25"/>
    <n v="0"/>
  </r>
  <r>
    <d v="2025-09-16T00:00:00"/>
    <x v="1"/>
    <x v="0"/>
    <m/>
    <x v="0"/>
    <s v="TR/CHEPA/AFFAN METALS"/>
    <n v="0"/>
    <n v="1"/>
  </r>
  <r>
    <d v="2025-09-16T00:00:00"/>
    <x v="1"/>
    <x v="3"/>
    <m/>
    <x v="6"/>
    <s v="NEFT/RAM NARAYAN/TMBLH25259730627 (Ref# 1563147)"/>
    <n v="0.6"/>
    <n v="0"/>
  </r>
  <r>
    <d v="2025-09-17T00:00:00"/>
    <x v="1"/>
    <x v="5"/>
    <m/>
    <x v="7"/>
    <s v="TR/CHEPA/VEERA PROPERTIES"/>
    <n v="0"/>
    <n v="6"/>
  </r>
  <r>
    <d v="2025-09-17T00:00:00"/>
    <x v="1"/>
    <x v="0"/>
    <m/>
    <x v="0"/>
    <s v="TR/CHEPA/AFFAN METALS (Ref# 1563148)"/>
    <n v="6.5"/>
    <n v="0"/>
  </r>
  <r>
    <d v="2025-09-19T00:00:00"/>
    <x v="1"/>
    <x v="0"/>
    <m/>
    <x v="0"/>
    <s v="TR/CHEPA/AFFAN METALS"/>
    <n v="0"/>
    <n v="1"/>
  </r>
  <r>
    <d v="2025-09-19T00:00:00"/>
    <x v="1"/>
    <x v="3"/>
    <m/>
    <x v="3"/>
    <s v="NEFT/THE K C P LTD/TMBLH25262055876 (Ref# 1563150)"/>
    <n v="0.17818000000000001"/>
    <n v="0"/>
  </r>
  <r>
    <d v="2025-09-19T00:00:00"/>
    <x v="1"/>
    <x v="2"/>
    <m/>
    <x v="16"/>
    <s v="NEFT/GST/TMBLH25262058684 (Ref# 1563149)"/>
    <n v="0.57318000000000002"/>
    <n v="0"/>
  </r>
  <r>
    <d v="2025-09-19T00:00:00"/>
    <x v="1"/>
    <x v="3"/>
    <m/>
    <x v="30"/>
    <s v="eBank/Tr To SELVAM V / trf"/>
    <n v="0.25"/>
    <n v="0"/>
  </r>
  <r>
    <d v="2025-09-19T00:00:00"/>
    <x v="1"/>
    <x v="0"/>
    <m/>
    <x v="0"/>
    <s v="TR/CHEPA/AFFAN METALS"/>
    <n v="0"/>
    <n v="0.5"/>
  </r>
  <r>
    <d v="2025-09-19T00:00:00"/>
    <x v="1"/>
    <x v="6"/>
    <m/>
    <x v="18"/>
    <s v="CS/CHEPA/SELF (Ref# 1541809)"/>
    <n v="0.5"/>
    <n v="0"/>
  </r>
  <r>
    <d v="2025-09-20T00:00:00"/>
    <x v="1"/>
    <x v="0"/>
    <m/>
    <x v="0"/>
    <s v="TR/CHEPA/AFFAN METALS"/>
    <n v="0"/>
    <n v="2"/>
  </r>
  <r>
    <d v="2025-09-20T00:00:00"/>
    <x v="1"/>
    <x v="5"/>
    <m/>
    <x v="7"/>
    <s v="TR/CHEPA/VEERA PROPERTES (Ref# 1563151)"/>
    <n v="1"/>
    <n v="0"/>
  </r>
  <r>
    <d v="2025-09-20T00:00:00"/>
    <x v="1"/>
    <x v="3"/>
    <m/>
    <x v="39"/>
    <s v="NEFT/SRI PACHAIYAMMAN B/TMBLH25263183950 (Ref# 1563152)"/>
    <n v="0.85"/>
    <n v="0"/>
  </r>
  <r>
    <d v="2025-09-20T00:00:00"/>
    <x v="1"/>
    <x v="3"/>
    <m/>
    <x v="30"/>
    <s v="eBank/Tr To SELVAM V / trf"/>
    <n v="0.25"/>
    <n v="0"/>
  </r>
  <r>
    <d v="2025-09-22T00:00:00"/>
    <x v="1"/>
    <x v="3"/>
    <m/>
    <x v="5"/>
    <s v="NEFT/MOHANDAS PARAMASIV/TMBLH25265347488 (Ref# 1563153)"/>
    <n v="4.2979999999999997E-2"/>
    <n v="0"/>
  </r>
  <r>
    <d v="2025-09-22T00:00:00"/>
    <x v="1"/>
    <x v="0"/>
    <m/>
    <x v="0"/>
    <s v="TR/CHEPA/AFFAN METALS"/>
    <n v="0"/>
    <n v="1"/>
  </r>
  <r>
    <d v="2025-09-22T00:00:00"/>
    <x v="1"/>
    <x v="3"/>
    <m/>
    <x v="40"/>
    <s v="NEFT/S R RATHINAM/TMBLH25265368885 (Ref# 1563154)"/>
    <n v="0.70150000000000001"/>
    <n v="0"/>
  </r>
  <r>
    <d v="2025-09-23T00:00:00"/>
    <x v="1"/>
    <x v="4"/>
    <m/>
    <x v="4"/>
    <s v="RTGS/ACHARYA STEE/HDFCR52025092364072721"/>
    <n v="0"/>
    <n v="10"/>
  </r>
  <r>
    <d v="2025-09-23T00:00:00"/>
    <x v="1"/>
    <x v="5"/>
    <m/>
    <x v="7"/>
    <s v="TR/CHEPA/VEERA PROPERTIES (Ref# 1563155)"/>
    <n v="3"/>
    <n v="0"/>
  </r>
  <r>
    <d v="2025-09-23T00:00:00"/>
    <x v="1"/>
    <x v="4"/>
    <m/>
    <x v="21"/>
    <s v="RTGS/S M STEEL AL/UTIBR62025092326663650"/>
    <n v="0"/>
    <n v="6"/>
  </r>
  <r>
    <d v="2025-09-24T00:00:00"/>
    <x v="1"/>
    <x v="0"/>
    <m/>
    <x v="0"/>
    <s v="TR/CHEPA/AFFAN METALS (Ref# 1563156)"/>
    <n v="10"/>
    <n v="0"/>
  </r>
  <r>
    <d v="2025-09-24T00:00:00"/>
    <x v="1"/>
    <x v="4"/>
    <m/>
    <x v="21"/>
    <s v="RTGS/S M STEEL AL/UTIBR62025092427021593"/>
    <n v="0"/>
    <n v="4"/>
  </r>
  <r>
    <d v="2025-09-25T00:00:00"/>
    <x v="1"/>
    <x v="0"/>
    <m/>
    <x v="0"/>
    <s v="eBank/Tr To AFFAN METALS / trf"/>
    <n v="5"/>
    <n v="0"/>
  </r>
  <r>
    <d v="2025-09-26T00:00:00"/>
    <x v="1"/>
    <x v="4"/>
    <m/>
    <x v="4"/>
    <s v="RTGS/ACHARYA STEE/HDFCR52025092665357169"/>
    <n v="0"/>
    <n v="8"/>
  </r>
  <r>
    <d v="2025-09-26T00:00:00"/>
    <x v="1"/>
    <x v="3"/>
    <m/>
    <x v="30"/>
    <s v="TR/CHEPA/SELVAM V (Ref# 1563157)"/>
    <n v="1.23"/>
    <n v="0"/>
  </r>
  <r>
    <d v="2025-09-26T00:00:00"/>
    <x v="1"/>
    <x v="5"/>
    <m/>
    <x v="7"/>
    <s v="TR/CHEPA/VEERA PROPERTIES (Ref# 1563158)"/>
    <n v="5"/>
    <n v="0"/>
  </r>
  <r>
    <d v="2025-09-26T00:00:00"/>
    <x v="1"/>
    <x v="5"/>
    <m/>
    <x v="7"/>
    <s v="TR/CHEPA/VEERA PROPERTIES (Ref# 1563159)"/>
    <n v="3"/>
    <n v="0"/>
  </r>
  <r>
    <d v="2025-09-29T00:00:00"/>
    <x v="1"/>
    <x v="2"/>
    <m/>
    <x v="2"/>
    <s v="210ILCR260044:LC Charges"/>
    <n v="2.3600000000000001E-3"/>
    <n v="0"/>
  </r>
  <r>
    <d v="2025-09-29T00:00:00"/>
    <x v="1"/>
    <x v="0"/>
    <m/>
    <x v="0"/>
    <s v="TR/CHEPA/AFFAN METALS"/>
    <n v="0"/>
    <n v="10"/>
  </r>
  <r>
    <d v="2025-09-29T00:00:00"/>
    <x v="1"/>
    <x v="5"/>
    <m/>
    <x v="7"/>
    <s v="TR/CHEPA/VEERAPROPERTIES (Ref# 1563160)"/>
    <n v="10"/>
    <n v="0"/>
  </r>
  <r>
    <d v="2025-09-30T00:00:00"/>
    <x v="1"/>
    <x v="0"/>
    <m/>
    <x v="0"/>
    <s v="TR/CHEPA/AFFAN METALS"/>
    <n v="0"/>
    <n v="5"/>
  </r>
  <r>
    <d v="2025-09-30T00:00:00"/>
    <x v="1"/>
    <x v="6"/>
    <m/>
    <x v="18"/>
    <s v="CS/CHEPA/SELF (Ref# 1563180)"/>
    <n v="2"/>
    <n v="0"/>
  </r>
  <r>
    <d v="2025-09-30T00:00:00"/>
    <x v="1"/>
    <x v="9"/>
    <m/>
    <x v="31"/>
    <s v="210700050900123:Int.Coll:01-09-2025 to 30-09-2025"/>
    <n v="3.1642199999999998"/>
    <n v="0"/>
  </r>
  <r>
    <d v="2025-09-30T00:00:00"/>
    <x v="1"/>
    <x v="2"/>
    <m/>
    <x v="41"/>
    <s v="210700050900123:Penal Charge Coll:30-09-2025 to 3"/>
    <n v="1.8000000000000001E-4"/>
    <n v="0"/>
  </r>
  <r>
    <d v="2025-09-30T00:00:00"/>
    <x v="1"/>
    <x v="3"/>
    <m/>
    <x v="19"/>
    <s v="eBank/Tr To RAJASEKARAN RAVICHANDRAN / Lap Printer"/>
    <n v="0.76437750000000004"/>
    <n v="0"/>
  </r>
  <r>
    <d v="2025-10-02T00:00:00"/>
    <x v="2"/>
    <x v="4"/>
    <m/>
    <x v="21"/>
    <s v="RTGS/S M STEEL AL/UTIBR62025100228503307"/>
    <n v="0"/>
    <n v="9.5"/>
  </r>
  <r>
    <d v="2025-10-03T00:00:00"/>
    <x v="2"/>
    <x v="3"/>
    <m/>
    <x v="5"/>
    <s v="NEFT/MOHANDOSS PARAMASI/TMBLH25276578630 (Ref# 1563161)"/>
    <n v="0.12"/>
    <n v="0"/>
  </r>
  <r>
    <d v="2025-10-03T00:00:00"/>
    <x v="2"/>
    <x v="0"/>
    <m/>
    <x v="0"/>
    <s v="TR/CHEPA/AFFAN METALS (Ref# 1563162)"/>
    <n v="6"/>
    <n v="0"/>
  </r>
  <r>
    <d v="2025-10-04T00:00:00"/>
    <x v="2"/>
    <x v="5"/>
    <m/>
    <x v="7"/>
    <s v="TR/CHEPA/VEERA PROPERTIES (Ref# 1563163)"/>
    <n v="1"/>
    <n v="0"/>
  </r>
  <r>
    <d v="2025-10-06T00:00:00"/>
    <x v="2"/>
    <x v="0"/>
    <m/>
    <x v="0"/>
    <s v="TR/CHEPA/AFFAN METALS (Ref# 1563164)"/>
    <n v="1.5"/>
    <n v="0"/>
  </r>
  <r>
    <d v="2025-10-07T00:00:00"/>
    <x v="2"/>
    <x v="1"/>
    <m/>
    <x v="32"/>
    <s v="TIN/25100600583568/TAX (Ref# 1563166)"/>
    <n v="2.112E-2"/>
    <n v="0"/>
  </r>
  <r>
    <d v="2025-10-07T00:00:00"/>
    <x v="2"/>
    <x v="1"/>
    <m/>
    <x v="32"/>
    <s v="TIN/25100600575091/TAX (Ref# 1563165)"/>
    <n v="0.55049999999999999"/>
    <n v="0"/>
  </r>
  <r>
    <d v="2025-10-07T00:00:00"/>
    <x v="2"/>
    <x v="2"/>
    <m/>
    <x v="2"/>
    <s v="TR/CHEPA/STAMP CHARGES"/>
    <n v="2E-3"/>
    <n v="0"/>
  </r>
  <r>
    <d v="2025-10-08T00:00:00"/>
    <x v="2"/>
    <x v="0"/>
    <m/>
    <x v="0"/>
    <s v="TR/CHEPA/AFFAN METALS (Ref# 1563167)"/>
    <n v="0.2"/>
    <n v="0"/>
  </r>
  <r>
    <d v="2025-10-08T00:00:00"/>
    <x v="2"/>
    <x v="4"/>
    <m/>
    <x v="21"/>
    <s v="RTGS/S M STEEL AL/UTIBR62025100829670648"/>
    <n v="0"/>
    <n v="20"/>
  </r>
  <r>
    <d v="2025-10-08T00:00:00"/>
    <x v="2"/>
    <x v="0"/>
    <m/>
    <x v="0"/>
    <s v="TR/CHEPA/AFFAN METALS (Ref# 1563168)"/>
    <n v="12"/>
    <n v="0"/>
  </r>
  <r>
    <d v="2025-10-09T00:00:00"/>
    <x v="2"/>
    <x v="0"/>
    <m/>
    <x v="0"/>
    <s v="eBank/Tr To AFFAN METALS / trf"/>
    <n v="4"/>
    <n v="0"/>
  </r>
  <r>
    <d v="2025-10-09T00:00:00"/>
    <x v="2"/>
    <x v="6"/>
    <m/>
    <x v="18"/>
    <s v="CS/CHEPA/SELF (Ref# 1563179)"/>
    <n v="1.5"/>
    <n v="0"/>
  </r>
  <r>
    <d v="2025-10-09T00:00:00"/>
    <x v="2"/>
    <x v="2"/>
    <m/>
    <x v="15"/>
    <s v="eBank/625222341/Godown EB"/>
    <n v="0.82941539999999991"/>
    <n v="0"/>
  </r>
  <r>
    <d v="2025-10-09T00:00:00"/>
    <x v="2"/>
    <x v="1"/>
    <m/>
    <x v="42"/>
    <s v="eBank/625225511/AXIS sb Ac Opening"/>
    <n v="0.75"/>
    <n v="0"/>
  </r>
  <r>
    <d v="2025-10-10T00:00:00"/>
    <x v="2"/>
    <x v="0"/>
    <m/>
    <x v="0"/>
    <s v="eBank/Tr From AFFAN METALS / trf"/>
    <n v="0"/>
    <n v="1.5"/>
  </r>
  <r>
    <d v="2025-10-10T00:00:00"/>
    <x v="2"/>
    <x v="3"/>
    <m/>
    <x v="12"/>
    <s v="NEFT/ANAND T/TMBLH25283546137"/>
    <n v="0.45"/>
    <n v="0"/>
  </r>
  <r>
    <d v="2025-10-10T00:00:00"/>
    <x v="2"/>
    <x v="3"/>
    <m/>
    <x v="10"/>
    <s v="NEFT/Jagan Durai/TMBLH25283546188"/>
    <n v="0.2"/>
    <n v="0"/>
  </r>
  <r>
    <d v="2025-10-10T00:00:00"/>
    <x v="2"/>
    <x v="5"/>
    <m/>
    <x v="7"/>
    <s v="eBank/Tr To VEERA PROPERTIES / trf"/>
    <n v="0.1"/>
    <n v="0"/>
  </r>
  <r>
    <d v="2025-10-10T00:00:00"/>
    <x v="2"/>
    <x v="2"/>
    <m/>
    <x v="11"/>
    <s v="eBank/Tr To RAJASEKARAN RAVICHANDRAN / salary"/>
    <n v="0.23333999999999999"/>
    <n v="0"/>
  </r>
  <r>
    <d v="2025-10-10T00:00:00"/>
    <x v="2"/>
    <x v="2"/>
    <m/>
    <x v="16"/>
    <s v="NEFT/GST/TMBLH25283554698 (Ref# 1563169)"/>
    <n v="1.44442"/>
    <n v="0"/>
  </r>
  <r>
    <d v="2025-10-13T00:00:00"/>
    <x v="2"/>
    <x v="0"/>
    <m/>
    <x v="0"/>
    <s v="eBank/Tr From AFFAN METALS / TRANSFER TO VEERA"/>
    <n v="0"/>
    <n v="1.5"/>
  </r>
  <r>
    <d v="2025-10-13T00:00:00"/>
    <x v="2"/>
    <x v="5"/>
    <m/>
    <x v="7"/>
    <s v="eBank/Tr To VEERA PROPERTIES / VEERA P"/>
    <n v="0.5"/>
    <n v="0"/>
  </r>
  <r>
    <d v="2025-10-13T00:00:00"/>
    <x v="2"/>
    <x v="3"/>
    <m/>
    <x v="37"/>
    <s v="NEFT/PANKAJ ACHARYA/TMBLH25286849668 (Ref# 1563170)"/>
    <n v="0.56000000000000005"/>
    <n v="0"/>
  </r>
  <r>
    <d v="2025-10-13T00:00:00"/>
    <x v="2"/>
    <x v="1"/>
    <m/>
    <x v="1"/>
    <s v="Bill Id:[210DBP2600014]:PURCHASE"/>
    <n v="0"/>
    <n v="18.265689999999999"/>
  </r>
  <r>
    <d v="2025-10-13T00:00:00"/>
    <x v="2"/>
    <x v="1"/>
    <m/>
    <x v="1"/>
    <s v="Bill Id:[210DBP2600014]:Interest Income A/c"/>
    <n v="0.25205499999999997"/>
    <n v="0"/>
  </r>
  <r>
    <d v="2025-10-14T00:00:00"/>
    <x v="2"/>
    <x v="0"/>
    <m/>
    <x v="0"/>
    <s v="TR/CHEPA/AFFAN METALS (Ref# 1563173)"/>
    <n v="16"/>
    <n v="0"/>
  </r>
  <r>
    <d v="2025-10-14T00:00:00"/>
    <x v="2"/>
    <x v="5"/>
    <m/>
    <x v="7"/>
    <s v="eBank/Tr To VEERA PROPERTIES / Veera P"/>
    <n v="0.2"/>
    <n v="0"/>
  </r>
  <r>
    <d v="2025-10-14T00:00:00"/>
    <x v="2"/>
    <x v="5"/>
    <m/>
    <x v="7"/>
    <s v="TR/CHEPA/VEERA PROPERTIES (Ref# 1563174)"/>
    <n v="0.2"/>
    <n v="0"/>
  </r>
  <r>
    <d v="2025-10-14T00:00:00"/>
    <x v="2"/>
    <x v="3"/>
    <m/>
    <x v="30"/>
    <s v="TR/CHEPA/SELVAM V (Ref# 1563171)"/>
    <n v="2"/>
    <n v="0"/>
  </r>
  <r>
    <d v="2025-10-15T00:00:00"/>
    <x v="2"/>
    <x v="4"/>
    <m/>
    <x v="4"/>
    <s v="RTGS/ACHARYA STEE/HDFCR52025101572409463"/>
    <n v="0"/>
    <n v="5"/>
  </r>
  <r>
    <d v="2025-10-15T00:00:00"/>
    <x v="2"/>
    <x v="0"/>
    <m/>
    <x v="0"/>
    <s v="eBank/Tr To AFFAN METALS / trf"/>
    <n v="5"/>
    <n v="0"/>
  </r>
  <r>
    <d v="2025-10-15T00:00:00"/>
    <x v="2"/>
    <x v="3"/>
    <m/>
    <x v="20"/>
    <s v="NEFT/PANDURANGAN/TMBLH25288109370 (Ref# 1563175)"/>
    <n v="0.18784000000000001"/>
    <n v="0"/>
  </r>
  <r>
    <d v="2025-10-17T00:00:00"/>
    <x v="2"/>
    <x v="3"/>
    <m/>
    <x v="19"/>
    <s v="eBank/Tr To RAJASEKARAN RAVICHANDRAN / Sweet purch"/>
    <n v="0.10304000000000001"/>
    <n v="0"/>
  </r>
  <r>
    <d v="2025-10-24T00:00:00"/>
    <x v="2"/>
    <x v="4"/>
    <m/>
    <x v="4"/>
    <s v="RTGS/ACHARYA STEE/HDFCR52025102475645153"/>
    <n v="0"/>
    <n v="5"/>
  </r>
  <r>
    <d v="2025-10-24T00:00:00"/>
    <x v="2"/>
    <x v="3"/>
    <m/>
    <x v="30"/>
    <s v="eBank/Tr To SELVAM V / Loan"/>
    <n v="1.23"/>
    <n v="0"/>
  </r>
  <r>
    <d v="2025-10-24T00:00:00"/>
    <x v="2"/>
    <x v="6"/>
    <m/>
    <x v="18"/>
    <s v="CS/CHEPA/SELF (Ref# 1563230)"/>
    <n v="1"/>
    <n v="0"/>
  </r>
  <r>
    <d v="2025-10-24T00:00:00"/>
    <x v="2"/>
    <x v="4"/>
    <m/>
    <x v="13"/>
    <s v="GST_Refund/210700050900123/S15672270/23-04-2025"/>
    <n v="0"/>
    <n v="1.9079999999999998E-4"/>
  </r>
  <r>
    <d v="2025-10-24T00:00:00"/>
    <x v="2"/>
    <x v="4"/>
    <m/>
    <x v="13"/>
    <s v="GST_Refund/210700050900123/S9831072/25-08-2025"/>
    <n v="0"/>
    <n v="4.2299999999999998E-4"/>
  </r>
  <r>
    <d v="2025-10-24T00:00:00"/>
    <x v="2"/>
    <x v="2"/>
    <m/>
    <x v="2"/>
    <s v="TR/CHEPA/EC CHARGES FOR 2024-25"/>
    <n v="7.1599999999999997E-3"/>
    <n v="0"/>
  </r>
  <r>
    <d v="2025-10-24T00:00:00"/>
    <x v="2"/>
    <x v="2"/>
    <m/>
    <x v="2"/>
    <s v="TR/CHEPA/EC CHARGES FOR 2024-25"/>
    <n v="5.7600000000000004E-3"/>
    <n v="0"/>
  </r>
  <r>
    <d v="2025-10-28T00:00:00"/>
    <x v="2"/>
    <x v="0"/>
    <m/>
    <x v="0"/>
    <s v="eBank/Tr To AFFAN METALS / TRANSFER TO AFFAN"/>
    <n v="1.5"/>
    <n v="0"/>
  </r>
  <r>
    <d v="2025-10-29T00:00:00"/>
    <x v="2"/>
    <x v="0"/>
    <m/>
    <x v="0"/>
    <s v="TR/CHEPA/AFFAN METALS"/>
    <n v="0"/>
    <n v="1.3"/>
  </r>
  <r>
    <d v="2025-10-29T00:00:00"/>
    <x v="2"/>
    <x v="5"/>
    <m/>
    <x v="7"/>
    <s v="TR/CHEPA/VEERA PROPERTIES (Ref# 1563176)"/>
    <n v="2.2999999999999998"/>
    <n v="0"/>
  </r>
  <r>
    <d v="2025-10-31T00:00:00"/>
    <x v="2"/>
    <x v="1"/>
    <m/>
    <x v="1"/>
    <s v="Bill Id:[210DBP2600016]:PURCHASE"/>
    <n v="0"/>
    <n v="20.269870000000001"/>
  </r>
  <r>
    <d v="2025-10-31T00:00:00"/>
    <x v="2"/>
    <x v="1"/>
    <m/>
    <x v="1"/>
    <s v="Bill Id:[210DBP2600016]:Interest Income A/c"/>
    <n v="0.32022499999999998"/>
    <n v="0"/>
  </r>
  <r>
    <d v="2025-10-31T00:00:00"/>
    <x v="2"/>
    <x v="9"/>
    <m/>
    <x v="31"/>
    <s v="210700050900123:Int.Coll:01-10-2025 to 31-10-2025"/>
    <n v="3.27291"/>
    <n v="0"/>
  </r>
  <r>
    <d v="2025-10-31T00:00:00"/>
    <x v="2"/>
    <x v="2"/>
    <m/>
    <x v="41"/>
    <s v="210700050900123:Penal Charge Coll:31-10-2025 to 3"/>
    <n v="2.1669999999999998E-2"/>
    <n v="0"/>
  </r>
  <r>
    <d v="2025-10-31T00:00:00"/>
    <x v="2"/>
    <x v="2"/>
    <m/>
    <x v="2"/>
    <s v="TR/CHEPA/CIBIL CHARGES"/>
    <n v="1.6250000000000001E-2"/>
    <n v="0"/>
  </r>
  <r>
    <d v="2025-10-31T00:00:00"/>
    <x v="2"/>
    <x v="2"/>
    <m/>
    <x v="2"/>
    <s v="TR/CHEPA/CIBIL CHARGES"/>
    <n v="8.0000000000000004E-4"/>
    <n v="0"/>
  </r>
  <r>
    <d v="2025-10-31T00:00:00"/>
    <x v="2"/>
    <x v="2"/>
    <m/>
    <x v="2"/>
    <s v="TR/CHEPA/CIBIL CHARGES"/>
    <n v="1.6000000000000001E-3"/>
    <n v="0"/>
  </r>
  <r>
    <d v="2025-11-01T00:00:00"/>
    <x v="3"/>
    <x v="0"/>
    <m/>
    <x v="0"/>
    <s v="eBank/Tr To AFFAN METALS / TRF"/>
    <n v="16.5"/>
    <n v="0"/>
  </r>
  <r>
    <d v="2025-11-01T00:00:00"/>
    <x v="3"/>
    <x v="3"/>
    <m/>
    <x v="5"/>
    <s v="NEFT/MOHANDOSS PARAMASI/TMBLH25305995635 (Ref# 1563178)"/>
    <n v="0.12"/>
    <n v="0"/>
  </r>
  <r>
    <d v="2025-11-03T00:00:00"/>
    <x v="3"/>
    <x v="4"/>
    <m/>
    <x v="4"/>
    <s v="RTGS/ACHARYA STEE/HDFCR52025110379054882"/>
    <n v="0"/>
    <n v="13"/>
  </r>
  <r>
    <d v="2025-11-03T00:00:00"/>
    <x v="3"/>
    <x v="0"/>
    <m/>
    <x v="0"/>
    <s v="eBank/Tr To AFFAN METALS / TRF"/>
    <n v="7.5"/>
    <n v="0"/>
  </r>
  <r>
    <d v="2025-11-03T00:00:00"/>
    <x v="3"/>
    <x v="3"/>
    <m/>
    <x v="13"/>
    <s v="NeSL 31032021 F25-26"/>
    <n v="1.25E-3"/>
    <n v="0"/>
  </r>
  <r>
    <d v="2025-11-03T00:00:00"/>
    <x v="3"/>
    <x v="3"/>
    <m/>
    <x v="13"/>
    <s v="NeSL 31032021 F25-26/GST"/>
    <n v="2.2499999999999999E-4"/>
    <n v="0"/>
  </r>
  <r>
    <d v="2025-11-03T00:00:00"/>
    <x v="3"/>
    <x v="6"/>
    <m/>
    <x v="18"/>
    <s v="CS/CHEPA/SELF (Ref# 1563229)"/>
    <n v="0.5"/>
    <n v="0"/>
  </r>
  <r>
    <d v="2025-11-03T00:00:00"/>
    <x v="3"/>
    <x v="3"/>
    <m/>
    <x v="43"/>
    <s v="RTGS/BARRANQUESA /TMBLR52025110300153871 (Ref# 1563181)"/>
    <n v="5"/>
    <n v="0"/>
  </r>
  <r>
    <d v="2025-11-05T00:00:00"/>
    <x v="3"/>
    <x v="0"/>
    <m/>
    <x v="0"/>
    <s v="TR/CHEPA/AFFAN METALS"/>
    <n v="0"/>
    <n v="4.5"/>
  </r>
  <r>
    <d v="2025-11-05T00:00:00"/>
    <x v="3"/>
    <x v="5"/>
    <m/>
    <x v="7"/>
    <s v="TR/CHEPA/VEERA PROPERTIES (Ref# 1563182)"/>
    <n v="4.5"/>
    <n v="0"/>
  </r>
  <r>
    <d v="2025-11-05T00:00:00"/>
    <x v="3"/>
    <x v="5"/>
    <m/>
    <x v="7"/>
    <s v="eBank/Tr From VEERA PROPERTIES / VEERA"/>
    <n v="0"/>
    <n v="4.5"/>
  </r>
  <r>
    <d v="2025-11-05T00:00:00"/>
    <x v="3"/>
    <x v="0"/>
    <m/>
    <x v="0"/>
    <s v="eBank/Tr To AFFAN METALS / TRANSFER TO AFFAN"/>
    <n v="4.5"/>
    <n v="0"/>
  </r>
  <r>
    <d v="2025-11-05T00:00:00"/>
    <x v="3"/>
    <x v="7"/>
    <m/>
    <x v="22"/>
    <s v="INW CHQ RET CHRGS/1524712/05112025/065CTS"/>
    <n v="4.4249999999999998E-2"/>
    <n v="0"/>
  </r>
  <r>
    <d v="2025-11-06T00:00:00"/>
    <x v="3"/>
    <x v="4"/>
    <m/>
    <x v="44"/>
    <s v="CS/CHEPA/SELF"/>
    <n v="0"/>
    <n v="5"/>
  </r>
  <r>
    <d v="2025-11-06T00:00:00"/>
    <x v="3"/>
    <x v="0"/>
    <m/>
    <x v="0"/>
    <s v="TR/CHEPA/AFFAN METALS"/>
    <n v="0"/>
    <n v="10"/>
  </r>
  <r>
    <d v="2025-11-06T00:00:00"/>
    <x v="3"/>
    <x v="4"/>
    <m/>
    <x v="45"/>
    <s v="TR/CHEPA/K S S ENTERPRISES"/>
    <n v="0"/>
    <n v="10"/>
  </r>
  <r>
    <d v="2025-11-06T00:00:00"/>
    <x v="3"/>
    <x v="8"/>
    <m/>
    <x v="46"/>
    <s v="RTGS/GLOBAL ENTER/TMBLR52025110600583044 (Ref# 1563183)"/>
    <n v="25"/>
    <n v="0"/>
  </r>
  <r>
    <d v="2025-11-07T00:00:00"/>
    <x v="3"/>
    <x v="5"/>
    <m/>
    <x v="7"/>
    <s v="TR/CHEPA/VEERA PROPERTIES"/>
    <n v="0"/>
    <n v="1.8"/>
  </r>
  <r>
    <d v="2025-11-07T00:00:00"/>
    <x v="3"/>
    <x v="1"/>
    <m/>
    <x v="32"/>
    <s v="TIN/25110600429009/TAX (Ref# 1563184)"/>
    <n v="1.2520100000000001"/>
    <n v="0"/>
  </r>
  <r>
    <d v="2025-11-07T00:00:00"/>
    <x v="3"/>
    <x v="1"/>
    <m/>
    <x v="32"/>
    <s v="TIN/25110600432390/TAX (Ref# 1563185)"/>
    <n v="1.2659999999999999E-2"/>
    <n v="0"/>
  </r>
  <r>
    <d v="2025-11-07T00:00:00"/>
    <x v="3"/>
    <x v="0"/>
    <m/>
    <x v="0"/>
    <s v="eBank/Tr From AFFAN METALS / TRANSFER TO VEERA"/>
    <n v="0"/>
    <n v="1.65"/>
  </r>
  <r>
    <d v="2025-11-07T00:00:00"/>
    <x v="3"/>
    <x v="10"/>
    <m/>
    <x v="38"/>
    <s v="NEFT/STAR HEALTH AND AL/TMBLH25311752643 (Ref# 1563186)"/>
    <n v="0.11826"/>
    <n v="0"/>
  </r>
  <r>
    <d v="2025-11-07T00:00:00"/>
    <x v="3"/>
    <x v="2"/>
    <m/>
    <x v="16"/>
    <s v="eBank/GST/25113300046594"/>
    <n v="1.64"/>
    <n v="0"/>
  </r>
  <r>
    <d v="2025-11-07T00:00:00"/>
    <x v="3"/>
    <x v="2"/>
    <m/>
    <x v="2"/>
    <s v="TR/CHEPA/CERSAI CHARGES"/>
    <n v="3.0599999999999998E-3"/>
    <n v="0"/>
  </r>
  <r>
    <d v="2025-11-10T00:00:00"/>
    <x v="3"/>
    <x v="0"/>
    <m/>
    <x v="0"/>
    <s v="TR/CHEPA/AFFAN METALS"/>
    <n v="0"/>
    <n v="0.5"/>
  </r>
  <r>
    <d v="2025-11-10T00:00:00"/>
    <x v="3"/>
    <x v="3"/>
    <m/>
    <x v="10"/>
    <s v="NEFT/JAGAN DURAI/TMBLH25314045455 (Ref# 1563189)"/>
    <n v="0.15"/>
    <n v="0"/>
  </r>
  <r>
    <d v="2025-11-10T00:00:00"/>
    <x v="3"/>
    <x v="3"/>
    <m/>
    <x v="12"/>
    <s v="NEFT/ANAND THAINESH/TMBLH25314046656 (Ref# 1563188)"/>
    <n v="0.45"/>
    <n v="0"/>
  </r>
  <r>
    <d v="2025-11-10T00:00:00"/>
    <x v="3"/>
    <x v="3"/>
    <m/>
    <x v="19"/>
    <s v="TR/CHEPA/RAJASEKRAN RAVICHANDRAN (Ref# 1563187)"/>
    <n v="0.25"/>
    <n v="0"/>
  </r>
  <r>
    <d v="2025-11-11T00:00:00"/>
    <x v="3"/>
    <x v="10"/>
    <m/>
    <x v="38"/>
    <s v="eBank/631043971/Insurance TATA AIG"/>
    <n v="0.222"/>
    <n v="0"/>
  </r>
  <r>
    <d v="2025-11-12T00:00:00"/>
    <x v="3"/>
    <x v="1"/>
    <m/>
    <x v="1"/>
    <s v="Bill Id:[210DBP2600017]:PURCHASE"/>
    <n v="0"/>
    <n v="10.20529"/>
  </r>
  <r>
    <d v="2025-11-12T00:00:00"/>
    <x v="3"/>
    <x v="1"/>
    <m/>
    <x v="1"/>
    <s v="Bill Id:[210DBP2600017]:Interest Income A/c"/>
    <n v="0.15957499999999999"/>
    <n v="0"/>
  </r>
  <r>
    <d v="2025-11-12T00:00:00"/>
    <x v="3"/>
    <x v="0"/>
    <m/>
    <x v="0"/>
    <s v="eBank/Tr To AFFAN METALS / trf"/>
    <n v="10"/>
    <n v="0"/>
  </r>
  <r>
    <d v="2025-11-13T00:00:00"/>
    <x v="3"/>
    <x v="4"/>
    <m/>
    <x v="21"/>
    <s v="RTGS/S M STEEL AL/UTIBR62025111236879106"/>
    <n v="0"/>
    <n v="8"/>
  </r>
  <r>
    <d v="2025-11-13T00:00:00"/>
    <x v="3"/>
    <x v="0"/>
    <m/>
    <x v="0"/>
    <s v="eBank/Tr To AFFAN METALS / TRANSFER TO AFFAN"/>
    <n v="8"/>
    <n v="0"/>
  </r>
  <r>
    <d v="2025-11-13T00:00:00"/>
    <x v="3"/>
    <x v="4"/>
    <m/>
    <x v="21"/>
    <s v="RTGS/S M STEEL AL/UTIBR62025111336982597"/>
    <n v="0"/>
    <n v="4"/>
  </r>
  <r>
    <d v="2025-11-13T00:00:00"/>
    <x v="3"/>
    <x v="3"/>
    <m/>
    <x v="47"/>
    <s v="NEFT/K.PANDURANGAN and VA/TMBLH25317434801"/>
    <n v="0.36503999999999998"/>
    <n v="0"/>
  </r>
  <r>
    <d v="2025-11-13T00:00:00"/>
    <x v="3"/>
    <x v="0"/>
    <m/>
    <x v="0"/>
    <s v="eBank/Tr To AFFAN METALS / TRANSFER TO AFFAN"/>
    <n v="3.7"/>
    <n v="0"/>
  </r>
  <r>
    <d v="2025-11-15T00:00:00"/>
    <x v="3"/>
    <x v="4"/>
    <m/>
    <x v="4"/>
    <s v="RTGS/ACHARYA STEE/HDFCR52025111583704255"/>
    <n v="0"/>
    <n v="30"/>
  </r>
  <r>
    <d v="2025-11-15T00:00:00"/>
    <x v="3"/>
    <x v="4"/>
    <m/>
    <x v="4"/>
    <s v="RTGS/ACHARYA STEE/HDFCR52025111583668448"/>
    <n v="0"/>
    <n v="5"/>
  </r>
  <r>
    <d v="2025-11-15T00:00:00"/>
    <x v="3"/>
    <x v="4"/>
    <m/>
    <x v="4"/>
    <s v="RTGS/ACHARYA STEE/HDFCR52025111583706462"/>
    <n v="0"/>
    <n v="25"/>
  </r>
  <r>
    <d v="2025-11-15T00:00:00"/>
    <x v="3"/>
    <x v="3"/>
    <m/>
    <x v="45"/>
    <s v="TR/CHEPA/KSS ENTERPRISES (Ref# 1563191)"/>
    <n v="20"/>
    <n v="0"/>
  </r>
  <r>
    <d v="2025-11-15T00:00:00"/>
    <x v="3"/>
    <x v="5"/>
    <m/>
    <x v="7"/>
    <s v="TR/CHEPA/VEERA PROPERTIES (Ref# 1563192)"/>
    <n v="10"/>
    <n v="0"/>
  </r>
  <r>
    <d v="2025-11-15T00:00:00"/>
    <x v="3"/>
    <x v="2"/>
    <m/>
    <x v="48"/>
    <s v="eBank/631889241/ACT Fiber NET"/>
    <n v="4.0515799999999998E-2"/>
    <n v="0"/>
  </r>
  <r>
    <d v="2025-11-15T00:00:00"/>
    <x v="3"/>
    <x v="0"/>
    <m/>
    <x v="0"/>
    <s v="eBank/Tr To AFFAN METALS / TRANSFER TO AFFAN"/>
    <n v="5"/>
    <n v="0"/>
  </r>
  <r>
    <d v="2025-11-15T00:00:00"/>
    <x v="3"/>
    <x v="3"/>
    <m/>
    <x v="28"/>
    <s v="RTGS/PUNITHA G/TMBLR52025111500685193 (Ref# 1563193)"/>
    <n v="6.0761599999999998"/>
    <n v="0"/>
  </r>
  <r>
    <d v="2025-11-17T00:00:00"/>
    <x v="3"/>
    <x v="4"/>
    <m/>
    <x v="29"/>
    <s v="IMPS/SRI AMBAL TRADE/532112646799/ICIC/VEERAINDUST"/>
    <n v="0"/>
    <n v="3.8"/>
  </r>
  <r>
    <d v="2025-11-17T00:00:00"/>
    <x v="3"/>
    <x v="5"/>
    <m/>
    <x v="7"/>
    <s v="eBank/Tr To VEERA PROPERTIES / VEERA P"/>
    <n v="3"/>
    <n v="0"/>
  </r>
  <r>
    <d v="2025-11-18T00:00:00"/>
    <x v="3"/>
    <x v="0"/>
    <m/>
    <x v="0"/>
    <s v="TR/CHEPA/AFFAN METALS (Ref# 1563194)"/>
    <n v="5"/>
    <n v="0"/>
  </r>
  <r>
    <d v="2025-11-18T00:00:00"/>
    <x v="3"/>
    <x v="0"/>
    <m/>
    <x v="0"/>
    <s v="TR/CHEPA/AFFAN METALS (Ref# 1563195)"/>
    <n v="10"/>
    <n v="0"/>
  </r>
  <r>
    <d v="2025-11-18T00:00:00"/>
    <x v="3"/>
    <x v="2"/>
    <m/>
    <x v="16"/>
    <s v="RTGS/GST/TMBLR52025111800969386 (Ref# 1563196)"/>
    <n v="2.2255400000000001"/>
    <n v="0"/>
  </r>
  <r>
    <d v="2025-11-18T00:00:00"/>
    <x v="3"/>
    <x v="6"/>
    <m/>
    <x v="18"/>
    <s v="CS/CHEPA/SELF (Ref# 1563228)"/>
    <n v="1"/>
    <n v="0"/>
  </r>
  <r>
    <d v="2025-11-19T00:00:00"/>
    <x v="3"/>
    <x v="0"/>
    <m/>
    <x v="0"/>
    <s v="TR/CHEPA/AFFAN METALS (Ref# 1563197)"/>
    <n v="1.5"/>
    <n v="0"/>
  </r>
  <r>
    <d v="2025-11-19T00:00:00"/>
    <x v="3"/>
    <x v="4"/>
    <m/>
    <x v="49"/>
    <s v="RTGS/MEGHA STEELS/HSBCR22025111933362209"/>
    <n v="0"/>
    <n v="15"/>
  </r>
  <r>
    <d v="2025-11-20T00:00:00"/>
    <x v="3"/>
    <x v="0"/>
    <m/>
    <x v="0"/>
    <s v="TR/CHEPA/AFFAN METALS (Ref# 1563198)"/>
    <n v="5"/>
    <n v="0"/>
  </r>
  <r>
    <d v="2025-11-20T00:00:00"/>
    <x v="3"/>
    <x v="3"/>
    <m/>
    <x v="4"/>
    <s v="RTGS/ACHARYA STEE/TMBLR52025112000177762 (Ref# 1563199)"/>
    <n v="10"/>
    <n v="0"/>
  </r>
  <r>
    <d v="2025-11-21T00:00:00"/>
    <x v="3"/>
    <x v="5"/>
    <m/>
    <x v="7"/>
    <s v="eBank/Tr To VEERA PROPERTIES / VEERA P"/>
    <n v="0.1"/>
    <n v="0"/>
  </r>
  <r>
    <d v="2025-11-24T00:00:00"/>
    <x v="3"/>
    <x v="0"/>
    <m/>
    <x v="0"/>
    <s v="eBank/Tr From AFFAN METALS / TRF"/>
    <n v="0"/>
    <n v="0.2"/>
  </r>
  <r>
    <d v="2025-11-24T00:00:00"/>
    <x v="3"/>
    <x v="3"/>
    <m/>
    <x v="13"/>
    <s v="eBank/633333051/EB Mr Selvam"/>
    <n v="2.5315399999999998E-2"/>
    <n v="0"/>
  </r>
  <r>
    <d v="2025-11-25T00:00:00"/>
    <x v="3"/>
    <x v="4"/>
    <m/>
    <x v="21"/>
    <s v="RTGS/S M STEEL AL/UTIBR62025112539310716"/>
    <n v="0"/>
    <n v="14.5"/>
  </r>
  <r>
    <d v="2025-11-25T00:00:00"/>
    <x v="3"/>
    <x v="0"/>
    <m/>
    <x v="0"/>
    <s v="eBank/Tr To AFFAN METALS / TRF"/>
    <n v="14.5"/>
    <n v="0"/>
  </r>
  <r>
    <d v="2025-11-25T00:00:00"/>
    <x v="3"/>
    <x v="3"/>
    <m/>
    <x v="5"/>
    <s v="NEFT/MOHANDOSS PARAMASI/TMBLH25329675185 (Ref# 1563200)"/>
    <n v="0.05"/>
    <n v="0"/>
  </r>
  <r>
    <d v="2025-11-25T00:00:00"/>
    <x v="3"/>
    <x v="4"/>
    <m/>
    <x v="29"/>
    <s v="IMPS/SRI AMBAL TRADE/532915717443/ICIC/VEERAINDUST"/>
    <n v="0"/>
    <n v="2.3317399999999999"/>
  </r>
  <r>
    <d v="2025-11-25T00:00:00"/>
    <x v="3"/>
    <x v="0"/>
    <m/>
    <x v="0"/>
    <s v="eBank/Tr From AFFAN METALS / TRF"/>
    <n v="0"/>
    <n v="3"/>
  </r>
  <r>
    <d v="2025-11-25T00:00:00"/>
    <x v="3"/>
    <x v="3"/>
    <m/>
    <x v="43"/>
    <s v="RTGS/BARRANQUESA INDIA /TMBLR52025112500703102"/>
    <n v="5"/>
    <n v="0"/>
  </r>
  <r>
    <d v="2025-11-26T00:00:00"/>
    <x v="3"/>
    <x v="0"/>
    <m/>
    <x v="0"/>
    <s v="eBank/Tr From AFFAN METALS / TRF"/>
    <n v="0"/>
    <n v="5"/>
  </r>
  <r>
    <d v="2025-11-26T00:00:00"/>
    <x v="3"/>
    <x v="3"/>
    <m/>
    <x v="43"/>
    <s v="RTGS/BARRANQUESA INDIA /TMBLR52025112600814393"/>
    <n v="5"/>
    <n v="0"/>
  </r>
  <r>
    <d v="2025-11-27T00:00:00"/>
    <x v="3"/>
    <x v="4"/>
    <m/>
    <x v="49"/>
    <s v="RTGS/MEGHA STEELS/HSBCR22025112733493346"/>
    <n v="0"/>
    <n v="14"/>
  </r>
  <r>
    <d v="2025-11-27T00:00:00"/>
    <x v="3"/>
    <x v="0"/>
    <m/>
    <x v="0"/>
    <s v="eBank/Tr To AFFAN METALS / TRF"/>
    <n v="14"/>
    <n v="0"/>
  </r>
  <r>
    <d v="2025-11-27T00:00:00"/>
    <x v="3"/>
    <x v="1"/>
    <m/>
    <x v="1"/>
    <s v="Bill Id:[210DBP2600019]:Interest Income A/c"/>
    <n v="0.17360500000000001"/>
    <n v="0"/>
  </r>
  <r>
    <d v="2025-11-27T00:00:00"/>
    <x v="3"/>
    <x v="1"/>
    <m/>
    <x v="1"/>
    <s v="Bill Id:[210DBP2600019]:PURCHASE"/>
    <n v="0"/>
    <n v="11.78837"/>
  </r>
  <r>
    <d v="2025-11-27T00:00:00"/>
    <x v="3"/>
    <x v="2"/>
    <m/>
    <x v="15"/>
    <s v="eBank/633966341/GODOWN EB"/>
    <n v="0.53303540000000005"/>
    <n v="0"/>
  </r>
  <r>
    <d v="2025-11-27T00:00:00"/>
    <x v="3"/>
    <x v="3"/>
    <m/>
    <x v="3"/>
    <s v="NEFT/THE KCP LTD/TMBLH25331943408 (Ref# 1563202)"/>
    <n v="0.30974000000000002"/>
    <n v="0"/>
  </r>
  <r>
    <d v="2025-11-27T00:00:00"/>
    <x v="3"/>
    <x v="3"/>
    <m/>
    <x v="30"/>
    <s v="TR/CHEPA/SELVAM V (Ref# 1563201)"/>
    <n v="1.23"/>
    <n v="0"/>
  </r>
  <r>
    <d v="2025-11-28T00:00:00"/>
    <x v="3"/>
    <x v="3"/>
    <m/>
    <x v="43"/>
    <s v="RTGS/BARRANQUESA INDIA /TMBLR52025112800021782"/>
    <n v="5"/>
    <n v="0"/>
  </r>
  <r>
    <d v="2025-11-28T00:00:00"/>
    <x v="3"/>
    <x v="0"/>
    <m/>
    <x v="0"/>
    <s v="eBank/Tr To AFFAN METALS / trf"/>
    <n v="5"/>
    <n v="0"/>
  </r>
  <r>
    <d v="2025-11-29T00:00:00"/>
    <x v="3"/>
    <x v="0"/>
    <m/>
    <x v="0"/>
    <s v="eBank/Tr From AFFAN METALS / TRANSFER TO VEERA"/>
    <n v="0"/>
    <n v="4"/>
  </r>
  <r>
    <d v="2025-11-29T00:00:00"/>
    <x v="3"/>
    <x v="3"/>
    <m/>
    <x v="43"/>
    <s v="NEFT/BARRANQUESA INDIA PR/TMBLH25333161591"/>
    <n v="2"/>
    <n v="0"/>
  </r>
  <r>
    <d v="2025-11-29T00:00:00"/>
    <x v="3"/>
    <x v="5"/>
    <m/>
    <x v="7"/>
    <s v="eBank/Tr To VEERA PROPERTIES / VEERA P"/>
    <n v="2"/>
    <n v="0"/>
  </r>
  <r>
    <d v="2025-11-30T00:00:00"/>
    <x v="3"/>
    <x v="9"/>
    <m/>
    <x v="31"/>
    <s v="210700050900123:Int.Coll:01-11-2025 to 30-11-2025"/>
    <n v="3.1647099999999999"/>
    <n v="0"/>
  </r>
  <r>
    <d v="2025-12-04T00:00:00"/>
    <x v="4"/>
    <x v="4"/>
    <m/>
    <x v="4"/>
    <s v="RTGS/ACHARYA STEE/HDFCR52025120490940809"/>
    <n v="0"/>
    <n v="50"/>
  </r>
  <r>
    <d v="2025-12-04T00:00:00"/>
    <x v="4"/>
    <x v="0"/>
    <m/>
    <x v="0"/>
    <s v="eBank/Tr To AFFAN METALS / TRASSFER TO VEERA"/>
    <n v="20"/>
    <n v="0"/>
  </r>
  <r>
    <d v="2025-12-04T00:00:00"/>
    <x v="4"/>
    <x v="2"/>
    <m/>
    <x v="2"/>
    <s v="LEGAL FEES CHARGES"/>
    <n v="1.4999999999999999E-2"/>
    <n v="0"/>
  </r>
  <r>
    <d v="2025-12-04T00:00:00"/>
    <x v="4"/>
    <x v="3"/>
    <m/>
    <x v="5"/>
    <s v="NEFT/MOHANDOSS PARAMASI/TMBLH25338738065 (Ref# 1563204)"/>
    <n v="0.12"/>
    <n v="0"/>
  </r>
  <r>
    <d v="2025-12-05T00:00:00"/>
    <x v="4"/>
    <x v="4"/>
    <m/>
    <x v="4"/>
    <s v="RTGS/ACHARYA STEE/HDFCR52025120591327056"/>
    <n v="0"/>
    <n v="20"/>
  </r>
  <r>
    <d v="2025-12-05T00:00:00"/>
    <x v="4"/>
    <x v="0"/>
    <m/>
    <x v="0"/>
    <s v="eBank/Tr To AFFAN METALS / trf"/>
    <n v="10"/>
    <n v="0"/>
  </r>
  <r>
    <d v="2025-12-05T00:00:00"/>
    <x v="4"/>
    <x v="5"/>
    <m/>
    <x v="7"/>
    <s v="TR/CHEPA/VEERA PROPERTIES (Ref# 1563206)"/>
    <n v="3"/>
    <n v="0"/>
  </r>
  <r>
    <d v="2025-12-05T00:00:00"/>
    <x v="4"/>
    <x v="1"/>
    <m/>
    <x v="32"/>
    <s v="TIN/25120500060524/TAX (Ref# 1563205)"/>
    <n v="1.33636"/>
    <n v="0"/>
  </r>
  <r>
    <d v="2025-12-05T00:00:00"/>
    <x v="4"/>
    <x v="8"/>
    <m/>
    <x v="46"/>
    <s v="GLOBAL ENTERPRISE (Ref# 1524713)"/>
    <n v="25"/>
    <n v="0"/>
  </r>
  <r>
    <d v="2025-12-06T00:00:00"/>
    <x v="4"/>
    <x v="3"/>
    <m/>
    <x v="50"/>
    <s v="CS/CHEPA/C VINOD KUMAR (Ref# 1563208)"/>
    <n v="1"/>
    <n v="0"/>
  </r>
  <r>
    <d v="2025-12-06T00:00:00"/>
    <x v="4"/>
    <x v="2"/>
    <m/>
    <x v="11"/>
    <s v="eBank/Tr To RAJASEKARAN RAVICHANDRAN / SALARY"/>
    <n v="0.25"/>
    <n v="0"/>
  </r>
  <r>
    <d v="2025-12-06T00:00:00"/>
    <x v="4"/>
    <x v="3"/>
    <m/>
    <x v="10"/>
    <s v="NEFT/Jagan Durai/TMBLH25340071935"/>
    <n v="0.15"/>
    <n v="0"/>
  </r>
  <r>
    <d v="2025-12-06T00:00:00"/>
    <x v="4"/>
    <x v="3"/>
    <m/>
    <x v="12"/>
    <s v="NEFT/ANAND T/TMBLH25340072021"/>
    <n v="0.45"/>
    <n v="0"/>
  </r>
  <r>
    <d v="2025-12-06T00:00:00"/>
    <x v="4"/>
    <x v="2"/>
    <m/>
    <x v="16"/>
    <s v="NEFT/GST/TMBLH25340073430 (Ref# 1563209)"/>
    <n v="2.4034200000000001"/>
    <n v="0"/>
  </r>
  <r>
    <d v="2025-12-06T00:00:00"/>
    <x v="4"/>
    <x v="3"/>
    <m/>
    <x v="27"/>
    <s v="TR/CHEPA/M NAMASIVAYAM . (Ref# 1563207)"/>
    <n v="0.06"/>
    <n v="0"/>
  </r>
  <r>
    <d v="2025-12-06T00:00:00"/>
    <x v="4"/>
    <x v="6"/>
    <m/>
    <x v="18"/>
    <s v="CS/CHEPA/SELF (Ref# 1563227)"/>
    <n v="1.5"/>
    <n v="0"/>
  </r>
  <r>
    <d v="2025-12-08T00:00:00"/>
    <x v="4"/>
    <x v="4"/>
    <m/>
    <x v="44"/>
    <s v="CS/CHEPA/SELF"/>
    <n v="0"/>
    <n v="3.5"/>
  </r>
  <r>
    <d v="2025-12-08T00:00:00"/>
    <x v="4"/>
    <x v="3"/>
    <m/>
    <x v="4"/>
    <s v="RTGS/ACHARYA STEE/TMBLR52025120800282135 (Ref# 1563210)"/>
    <n v="4"/>
    <n v="0"/>
  </r>
  <r>
    <d v="2025-12-09T00:00:00"/>
    <x v="4"/>
    <x v="0"/>
    <m/>
    <x v="0"/>
    <s v="TR/CHEPA/AFFAN METALS (Ref# 1563211)"/>
    <n v="1"/>
    <n v="0"/>
  </r>
  <r>
    <d v="2025-12-09T00:00:00"/>
    <x v="4"/>
    <x v="2"/>
    <m/>
    <x v="2"/>
    <s v="TO/CHQ BOOK ISSUE CHARGES"/>
    <n v="1.4749999999999999E-2"/>
    <n v="0"/>
  </r>
  <r>
    <d v="2025-12-11T00:00:00"/>
    <x v="4"/>
    <x v="5"/>
    <m/>
    <x v="7"/>
    <s v="eBank/Tr From VEERA PROPERTIES / trf"/>
    <n v="0"/>
    <n v="7"/>
  </r>
  <r>
    <d v="2025-12-11T00:00:00"/>
    <x v="4"/>
    <x v="0"/>
    <m/>
    <x v="0"/>
    <s v="eBank/Tr To AFFAN METALS / trf"/>
    <n v="7"/>
    <n v="0"/>
  </r>
  <r>
    <d v="2025-12-12T00:00:00"/>
    <x v="4"/>
    <x v="4"/>
    <m/>
    <x v="4"/>
    <s v="RTGS/ACHARYA STEE/HDFCR52025121294337662"/>
    <n v="0"/>
    <n v="12.7"/>
  </r>
  <r>
    <d v="2025-12-12T00:00:00"/>
    <x v="4"/>
    <x v="0"/>
    <m/>
    <x v="0"/>
    <s v="eBank/Tr To AFFAN METALS / TRANSFER TO AFFAN"/>
    <n v="10"/>
    <n v="0"/>
  </r>
  <r>
    <d v="2025-12-13T00:00:00"/>
    <x v="4"/>
    <x v="3"/>
    <m/>
    <x v="47"/>
    <s v="NEFT/K.PANDURANGAN and VA/TMBLH25347916545"/>
    <n v="0.53908"/>
    <n v="0"/>
  </r>
  <r>
    <d v="2025-12-15T00:00:00"/>
    <x v="4"/>
    <x v="7"/>
    <m/>
    <x v="22"/>
    <s v="INW CHQ RET CHRGS/1541790/15122025/008CTS"/>
    <n v="3.5400000000000001E-2"/>
    <n v="0"/>
  </r>
  <r>
    <d v="2025-12-15T00:00:00"/>
    <x v="4"/>
    <x v="0"/>
    <m/>
    <x v="0"/>
    <s v="TR/CHEPA/AFFAN METALS"/>
    <n v="0"/>
    <n v="4"/>
  </r>
  <r>
    <d v="2025-12-15T00:00:00"/>
    <x v="4"/>
    <x v="3"/>
    <m/>
    <x v="4"/>
    <s v="RTGS/ACHARYA STEE/TMBLR52025121500087618 (Ref# 1563212)"/>
    <n v="4"/>
    <n v="0"/>
  </r>
  <r>
    <d v="2025-12-16T00:00:00"/>
    <x v="4"/>
    <x v="3"/>
    <m/>
    <x v="13"/>
    <s v="NEFT/SARALA B/TMBLH25350201169 (Ref# 1563213)"/>
    <n v="0.15"/>
    <n v="0"/>
  </r>
  <r>
    <d v="2025-12-16T00:00:00"/>
    <x v="4"/>
    <x v="3"/>
    <m/>
    <x v="19"/>
    <s v="eBank/Tr To RAJASEKARAN RAVICHANDRAN / Mr.Selvam C"/>
    <n v="0.3"/>
    <n v="0"/>
  </r>
  <r>
    <d v="2025-12-18T00:00:00"/>
    <x v="4"/>
    <x v="4"/>
    <m/>
    <x v="13"/>
    <s v="UPI/535201362329/S UTHIRIYA P NA/IOBA/loan return"/>
    <n v="0"/>
    <n v="1.0000000000000001E-5"/>
  </r>
  <r>
    <d v="2025-12-18T00:00:00"/>
    <x v="4"/>
    <x v="6"/>
    <m/>
    <x v="18"/>
    <s v="CS/CHEPA/SELF (Ref# 1563226)"/>
    <n v="1"/>
    <n v="0"/>
  </r>
  <r>
    <d v="2025-12-18T00:00:00"/>
    <x v="4"/>
    <x v="0"/>
    <m/>
    <x v="0"/>
    <s v="eBank/Tr From AFFAN METALS / TRANSFER TO VEERA"/>
    <n v="0"/>
    <n v="2"/>
  </r>
  <r>
    <d v="2025-12-18T00:00:00"/>
    <x v="4"/>
    <x v="8"/>
    <m/>
    <x v="51"/>
    <s v="RTGS/BARATHKUMAR /BKIDR52025121800766320"/>
    <n v="0"/>
    <n v="4.95"/>
  </r>
  <r>
    <d v="2025-12-18T00:00:00"/>
    <x v="4"/>
    <x v="8"/>
    <m/>
    <x v="51"/>
    <s v="RTGS/BARATHKUMAR /BKIDR52025121800766340"/>
    <n v="0"/>
    <n v="4.95"/>
  </r>
  <r>
    <d v="2025-12-18T00:00:00"/>
    <x v="4"/>
    <x v="0"/>
    <m/>
    <x v="0"/>
    <s v="TR/CHEPA/AFFAN METALS"/>
    <n v="0"/>
    <n v="0.5"/>
  </r>
  <r>
    <d v="2025-12-18T00:00:00"/>
    <x v="4"/>
    <x v="5"/>
    <m/>
    <x v="7"/>
    <s v="TR/CHEPA/VEERA PROPERTIES (Ref# 1563214)"/>
    <n v="0.5"/>
    <n v="0"/>
  </r>
  <r>
    <d v="2025-12-18T00:00:00"/>
    <x v="4"/>
    <x v="2"/>
    <m/>
    <x v="16"/>
    <s v="NEFT/GST/TMBLH25352478105 (Ref# 1563215)"/>
    <n v="2.1555399999999998"/>
    <n v="0"/>
  </r>
  <r>
    <d v="2025-12-19T00:00:00"/>
    <x v="4"/>
    <x v="2"/>
    <m/>
    <x v="2"/>
    <s v="210ILCR260045:LC Charges"/>
    <n v="2.3600000000000001E-3"/>
    <n v="0"/>
  </r>
  <r>
    <d v="2025-12-19T00:00:00"/>
    <x v="4"/>
    <x v="6"/>
    <m/>
    <x v="18"/>
    <s v="CS/CHEPA/SELF (Ref# 1563225)"/>
    <n v="0.5"/>
    <n v="0"/>
  </r>
  <r>
    <d v="2025-12-19T00:00:00"/>
    <x v="4"/>
    <x v="3"/>
    <m/>
    <x v="27"/>
    <s v="TR/CHEPA/M NAMASIVAYAM (Ref# 1563216)"/>
    <n v="8.8633600000000001"/>
    <n v="0"/>
  </r>
  <r>
    <d v="2025-12-22T00:00:00"/>
    <x v="4"/>
    <x v="3"/>
    <m/>
    <x v="13"/>
    <s v="NEFT/SURESH M/TMBLH25356872240 (Ref# 1563217)"/>
    <n v="0.22800000000000001"/>
    <n v="0"/>
  </r>
  <r>
    <d v="2025-12-23T00:00:00"/>
    <x v="4"/>
    <x v="4"/>
    <m/>
    <x v="4"/>
    <s v="RTGS/ACHARYA STEE/HDFCR52025122398180190"/>
    <n v="0"/>
    <n v="5"/>
  </r>
  <r>
    <d v="2025-12-23T00:00:00"/>
    <x v="4"/>
    <x v="0"/>
    <m/>
    <x v="0"/>
    <s v="eBank/Tr To AFFAN METALS / trf"/>
    <n v="3.5"/>
    <n v="0"/>
  </r>
  <r>
    <d v="2025-12-23T00:00:00"/>
    <x v="4"/>
    <x v="6"/>
    <m/>
    <x v="18"/>
    <s v="CS/CHEPA/SELF TO CASH (Ref# 1563224)"/>
    <n v="1.5"/>
    <n v="0"/>
  </r>
  <r>
    <d v="2025-12-23T00:00:00"/>
    <x v="4"/>
    <x v="3"/>
    <m/>
    <x v="19"/>
    <s v="eBank/Tr To RAJASEKARAN RAVICHANDRAN / Mr.Selvam C"/>
    <n v="0.2"/>
    <n v="0"/>
  </r>
  <r>
    <d v="2025-12-23T00:00:00"/>
    <x v="4"/>
    <x v="5"/>
    <m/>
    <x v="7"/>
    <s v="eBank/Tr To VEERA PROPERTIES / trf"/>
    <n v="0.1"/>
    <n v="0"/>
  </r>
  <r>
    <d v="2025-12-29T00:00:00"/>
    <x v="4"/>
    <x v="3"/>
    <m/>
    <x v="19"/>
    <s v="eBank/Tr To RAJASEKARAN RAVICHANDRAN / trf"/>
    <n v="0.05"/>
    <n v="0"/>
  </r>
  <r>
    <d v="2025-12-30T00:00:00"/>
    <x v="4"/>
    <x v="4"/>
    <m/>
    <x v="49"/>
    <s v="RTGS/MEGHA STEELS/HSBCR22025123034054452"/>
    <n v="0"/>
    <n v="10"/>
  </r>
  <r>
    <d v="2025-12-30T00:00:00"/>
    <x v="4"/>
    <x v="0"/>
    <m/>
    <x v="0"/>
    <s v="TR/CHEPA/AFFAN METALS (Ref# 1563219)"/>
    <n v="0.5"/>
    <n v="0"/>
  </r>
  <r>
    <d v="2025-12-30T00:00:00"/>
    <x v="4"/>
    <x v="3"/>
    <m/>
    <x v="4"/>
    <s v="RTGS/ACHARYA STEE/TMBLR52025123000739507 (Ref# 1563218)"/>
    <n v="10"/>
    <n v="0"/>
  </r>
  <r>
    <d v="2025-12-31T00:00:00"/>
    <x v="4"/>
    <x v="0"/>
    <m/>
    <x v="0"/>
    <s v="TR/CHEPA/AFFAN METALS"/>
    <n v="0"/>
    <n v="1"/>
  </r>
  <r>
    <d v="2025-12-31T00:00:00"/>
    <x v="4"/>
    <x v="6"/>
    <m/>
    <x v="18"/>
    <s v="CS/CHEPA/SELF (Ref# 1563223)"/>
    <n v="1"/>
    <n v="0"/>
  </r>
  <r>
    <d v="2025-12-31T00:00:00"/>
    <x v="4"/>
    <x v="7"/>
    <m/>
    <x v="22"/>
    <s v="INW CHQ RET CHRGS/1541791/31122025/016CTS"/>
    <n v="8.8500000000000002E-3"/>
    <n v="0"/>
  </r>
  <r>
    <d v="2025-12-31T00:00:00"/>
    <x v="4"/>
    <x v="9"/>
    <m/>
    <x v="31"/>
    <s v="210700050900123:Int.Coll:01-12-2025 to 31-12-2025"/>
    <n v="3.2792599999999998"/>
    <n v="0"/>
  </r>
  <r>
    <d v="2025-12-31T00:00:00"/>
    <x v="4"/>
    <x v="2"/>
    <m/>
    <x v="41"/>
    <s v="210700050900123:Penal Charge Coll:31-12-2025 to 3"/>
    <n v="5.1999999999999995E-4"/>
    <n v="0"/>
  </r>
  <r>
    <d v="2026-01-03T00:00:00"/>
    <x v="5"/>
    <x v="0"/>
    <m/>
    <x v="0"/>
    <s v="TR/CHEPA/AFFAN METALS"/>
    <n v="0"/>
    <n v="28.5"/>
  </r>
  <r>
    <d v="2026-01-05T00:00:00"/>
    <x v="5"/>
    <x v="8"/>
    <m/>
    <x v="46"/>
    <s v="GLOBAL ENTERPRISE (Ref# 1524714)"/>
    <n v="25"/>
    <n v="0"/>
  </r>
  <r>
    <d v="2026-01-06T00:00:00"/>
    <x v="5"/>
    <x v="4"/>
    <m/>
    <x v="49"/>
    <s v="RTGS/MEGHA STEELS/HSBCR22026010634171516"/>
    <n v="0"/>
    <n v="9"/>
  </r>
  <r>
    <d v="2026-01-06T00:00:00"/>
    <x v="5"/>
    <x v="3"/>
    <m/>
    <x v="4"/>
    <s v="RTGS/ACHARYA STEELS/TMBLR52026010600634009"/>
    <n v="9"/>
    <n v="0"/>
  </r>
  <r>
    <d v="2026-01-07T00:00:00"/>
    <x v="5"/>
    <x v="0"/>
    <m/>
    <x v="0"/>
    <s v="TR/CHEPA/AFFAN METALS"/>
    <n v="0"/>
    <n v="1.5"/>
  </r>
  <r>
    <d v="2026-01-07T00:00:00"/>
    <x v="5"/>
    <x v="1"/>
    <m/>
    <x v="32"/>
    <s v="TIN/26010600336201/TAX (Ref# 1563220)"/>
    <n v="1.2366299999999999"/>
    <n v="0"/>
  </r>
  <r>
    <d v="2026-01-08T00:00:00"/>
    <x v="5"/>
    <x v="4"/>
    <m/>
    <x v="4"/>
    <s v="RTGS/ACHARYA STEE/HDFCR52026010855003165"/>
    <n v="0"/>
    <n v="50"/>
  </r>
  <r>
    <d v="2026-01-08T00:00:00"/>
    <x v="5"/>
    <x v="3"/>
    <m/>
    <x v="19"/>
    <s v="eBank/Tr To RAJASEKARAN RAVICHANDRAN / Mr.Selvam"/>
    <n v="0.5"/>
    <n v="0"/>
  </r>
  <r>
    <d v="2026-01-08T00:00:00"/>
    <x v="5"/>
    <x v="2"/>
    <m/>
    <x v="11"/>
    <s v="eBank/Tr To RAJASEKARAN RAVICHANDRAN / Salary"/>
    <n v="0.25"/>
    <n v="0"/>
  </r>
  <r>
    <d v="2026-01-08T00:00:00"/>
    <x v="5"/>
    <x v="3"/>
    <m/>
    <x v="10"/>
    <s v="NEFT/Jagan Durai/TMBLH26008001464"/>
    <n v="0.2"/>
    <n v="0"/>
  </r>
  <r>
    <d v="2026-01-08T00:00:00"/>
    <x v="5"/>
    <x v="3"/>
    <m/>
    <x v="12"/>
    <s v="NEFT/ANAND T/TMBLH26008001840"/>
    <n v="0.3629"/>
    <n v="0"/>
  </r>
  <r>
    <d v="2026-01-08T00:00:00"/>
    <x v="5"/>
    <x v="0"/>
    <m/>
    <x v="0"/>
    <s v="eBank/Tr To AFFAN METALS / trf"/>
    <n v="16"/>
    <n v="0"/>
  </r>
  <r>
    <d v="2026-01-09T00:00:00"/>
    <x v="5"/>
    <x v="0"/>
    <m/>
    <x v="0"/>
    <s v="TR/CHEPA/AFFAN METALS (Ref# 1563221)"/>
    <n v="22"/>
    <n v="0"/>
  </r>
  <r>
    <d v="2026-01-09T00:00:00"/>
    <x v="5"/>
    <x v="1"/>
    <m/>
    <x v="1"/>
    <s v="Bill Id:[210DBP2600020]:Interest Income A/c"/>
    <n v="0.48786499999999999"/>
    <n v="0"/>
  </r>
  <r>
    <d v="2026-01-09T00:00:00"/>
    <x v="5"/>
    <x v="1"/>
    <m/>
    <x v="1"/>
    <s v="Bill Id:[210DBP2600020]:PURCHASE"/>
    <n v="0"/>
    <n v="37.563450000000003"/>
  </r>
  <r>
    <d v="2026-01-09T00:00:00"/>
    <x v="5"/>
    <x v="1"/>
    <m/>
    <x v="1"/>
    <s v="Bill Id:[210DBP2600021]:Interest Income A/c"/>
    <n v="0.125085"/>
    <n v="0"/>
  </r>
  <r>
    <d v="2026-01-09T00:00:00"/>
    <x v="5"/>
    <x v="1"/>
    <m/>
    <x v="1"/>
    <s v="Bill Id:[210DBP2600021]:PURCHASE"/>
    <n v="0"/>
    <n v="7.6942199999999996"/>
  </r>
  <r>
    <d v="2026-01-09T00:00:00"/>
    <x v="5"/>
    <x v="3"/>
    <m/>
    <x v="52"/>
    <s v="NEFT/AARUPADAI CORPORAT/TMBLH26009100229 (Ref# 1563231)"/>
    <n v="0.58499999999999996"/>
    <n v="0"/>
  </r>
  <r>
    <d v="2026-01-09T00:00:00"/>
    <x v="5"/>
    <x v="2"/>
    <m/>
    <x v="16"/>
    <s v="NEFT/GST/TMBLH26009128371 (Ref# 1563222)"/>
    <n v="1.6468"/>
    <n v="0"/>
  </r>
  <r>
    <d v="2026-01-09T00:00:00"/>
    <x v="5"/>
    <x v="5"/>
    <m/>
    <x v="7"/>
    <s v="eBank/Tr To VEERA PROPERTIES / trf"/>
    <n v="12"/>
    <n v="0"/>
  </r>
  <r>
    <d v="2026-01-09T00:00:00"/>
    <x v="5"/>
    <x v="3"/>
    <m/>
    <x v="13"/>
    <s v="TR/CHEPA/AUDITOR CERTIFICATE FOR BOOK DEPTS"/>
    <n v="0.02"/>
    <n v="0"/>
  </r>
  <r>
    <d v="2026-01-09T00:00:00"/>
    <x v="5"/>
    <x v="4"/>
    <m/>
    <x v="4"/>
    <s v="RTGS/ACHARYA STEE/HDFCR52026010955453548"/>
    <n v="0"/>
    <n v="10"/>
  </r>
  <r>
    <d v="2026-01-10T00:00:00"/>
    <x v="5"/>
    <x v="3"/>
    <m/>
    <x v="13"/>
    <s v="eBank/642259751/Selvam Home EB"/>
    <n v="8.2354000000000004E-3"/>
    <n v="0"/>
  </r>
  <r>
    <d v="2026-01-12T00:00:00"/>
    <x v="5"/>
    <x v="4"/>
    <m/>
    <x v="49"/>
    <s v="RTGS/MEGHA STEELS/HSBCR22026011234275628"/>
    <n v="0"/>
    <n v="14"/>
  </r>
  <r>
    <d v="2026-01-12T00:00:00"/>
    <x v="5"/>
    <x v="3"/>
    <m/>
    <x v="4"/>
    <s v="RTGS/ACHARYA STEELS/TMBLR52026011200381195"/>
    <n v="10"/>
    <n v="0"/>
  </r>
  <r>
    <d v="2026-01-12T00:00:00"/>
    <x v="5"/>
    <x v="0"/>
    <m/>
    <x v="0"/>
    <s v="TR/CHEPA/AFFAN METALS (Ref# 1563232)"/>
    <n v="15"/>
    <n v="0"/>
  </r>
  <r>
    <d v="2026-01-12T00:00:00"/>
    <x v="5"/>
    <x v="3"/>
    <m/>
    <x v="27"/>
    <s v="TR/CHEPA/M NAMASIVAYAM . (Ref# 1563233)"/>
    <n v="2.7482099999999998"/>
    <n v="0"/>
  </r>
  <r>
    <d v="2026-01-12T00:00:00"/>
    <x v="5"/>
    <x v="5"/>
    <m/>
    <x v="7"/>
    <s v="TR/CHEPA/VEERA PROPERTIES (Ref# 1563235)"/>
    <n v="8"/>
    <n v="0"/>
  </r>
  <r>
    <d v="2026-01-12T00:00:00"/>
    <x v="5"/>
    <x v="3"/>
    <m/>
    <x v="28"/>
    <s v="RTGS/PUNITHA G/TMBLR52026011200401173 (Ref# 1563234)"/>
    <n v="5.3525"/>
    <n v="0"/>
  </r>
  <r>
    <d v="2026-01-12T00:00:00"/>
    <x v="5"/>
    <x v="3"/>
    <m/>
    <x v="4"/>
    <s v="RTGS/ACHARYA STEE/TMBLR52026011200409503 (Ref# 1563236)"/>
    <n v="4"/>
    <n v="0"/>
  </r>
  <r>
    <d v="2026-01-12T00:00:00"/>
    <x v="5"/>
    <x v="3"/>
    <m/>
    <x v="20"/>
    <s v="NEFT/PANDURANGAN/TMBLH26012409561 (Ref# 1563237)"/>
    <n v="0.57852000000000003"/>
    <n v="0"/>
  </r>
  <r>
    <d v="2026-01-12T00:00:00"/>
    <x v="5"/>
    <x v="3"/>
    <m/>
    <x v="53"/>
    <s v="NEFT/SUNDARA PRABHU S/TMBLH26012424743 (Ref# 1563238)"/>
    <n v="1"/>
    <n v="0"/>
  </r>
  <r>
    <d v="2026-01-12T00:00:00"/>
    <x v="5"/>
    <x v="3"/>
    <m/>
    <x v="54"/>
    <s v="NEFT/DAYANA SUNDARA GLA/TMBLH26012425783 (Ref# 1563239)"/>
    <n v="1"/>
    <n v="0"/>
  </r>
  <r>
    <d v="2026-01-13T00:00:00"/>
    <x v="5"/>
    <x v="5"/>
    <m/>
    <x v="7"/>
    <s v="TR/CHEPA/VEERA PROPERTIES (Ref# 1563241)"/>
    <n v="2"/>
    <n v="0"/>
  </r>
  <r>
    <d v="2026-01-13T00:00:00"/>
    <x v="5"/>
    <x v="0"/>
    <m/>
    <x v="0"/>
    <s v="TR/CHEPA/AFFAN METALS (Ref# 1563240)"/>
    <n v="5"/>
    <n v="0"/>
  </r>
  <r>
    <d v="2026-01-13T00:00:00"/>
    <x v="5"/>
    <x v="0"/>
    <m/>
    <x v="0"/>
    <s v="eBank/Tr To AFFAN METALS / Trf"/>
    <n v="5"/>
    <n v="0"/>
  </r>
  <r>
    <d v="2026-01-13T00:00:00"/>
    <x v="5"/>
    <x v="3"/>
    <m/>
    <x v="37"/>
    <s v="NEFT/PANKAJ ACHARYA/TMBLH26013611073"/>
    <n v="0.6"/>
    <n v="0"/>
  </r>
  <r>
    <d v="2026-01-13T00:00:00"/>
    <x v="5"/>
    <x v="4"/>
    <m/>
    <x v="4"/>
    <s v="RTGS/ACHARYA STEE/HDFCR52026011356910497"/>
    <n v="0"/>
    <n v="40"/>
  </r>
  <r>
    <d v="2026-01-14T00:00:00"/>
    <x v="5"/>
    <x v="4"/>
    <m/>
    <x v="4"/>
    <s v="RTGS/ACHARYA STEE/HDFCR52026011457059777"/>
    <n v="0"/>
    <n v="30"/>
  </r>
  <r>
    <d v="2026-01-14T00:00:00"/>
    <x v="5"/>
    <x v="0"/>
    <m/>
    <x v="0"/>
    <s v="TR/CHEPA/AFFAN METALS"/>
    <n v="0"/>
    <n v="5"/>
  </r>
  <r>
    <d v="2026-01-14T00:00:00"/>
    <x v="5"/>
    <x v="8"/>
    <m/>
    <x v="25"/>
    <s v="RTGS/ADIMOOLAM N/TMBLR52026011400740467 (Ref# 1563242)"/>
    <n v="80"/>
    <n v="0"/>
  </r>
  <r>
    <d v="2026-01-19T00:00:00"/>
    <x v="5"/>
    <x v="3"/>
    <m/>
    <x v="19"/>
    <s v="eBank/Tr To RAJASEKARAN RAVICHANDRAN"/>
    <n v="0.05"/>
    <n v="0"/>
  </r>
  <r>
    <m/>
    <x v="6"/>
    <x v="11"/>
    <m/>
    <x v="5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6:R91" firstHeaderRow="1" firstDataRow="3" firstDataCol="2"/>
  <pivotFields count="8">
    <pivotField compact="0" outline="0" showAll="0"/>
    <pivotField axis="axisCol" compact="0" outline="0" showAll="0">
      <items count="9">
        <item x="0"/>
        <item x="1"/>
        <item x="2"/>
        <item x="3"/>
        <item x="4"/>
        <item m="1" x="7"/>
        <item x="5"/>
        <item x="6"/>
        <item t="default"/>
      </items>
    </pivotField>
    <pivotField axis="axisRow" compact="0" outline="0" showAll="0">
      <items count="15">
        <item x="6"/>
        <item m="1" x="13"/>
        <item x="1"/>
        <item x="4"/>
        <item x="10"/>
        <item m="1" x="12"/>
        <item x="7"/>
        <item x="3"/>
        <item x="8"/>
        <item x="9"/>
        <item x="5"/>
        <item x="2"/>
        <item x="0"/>
        <item x="11"/>
        <item t="default"/>
      </items>
    </pivotField>
    <pivotField compact="0" outline="0" showAll="0"/>
    <pivotField axis="axisRow" compact="0" outline="0" showAll="0">
      <items count="75">
        <item x="43"/>
        <item m="1" x="70"/>
        <item x="29"/>
        <item m="1" x="73"/>
        <item x="32"/>
        <item x="22"/>
        <item x="40"/>
        <item x="65"/>
        <item x="54"/>
        <item x="24"/>
        <item x="13"/>
        <item m="1" x="71"/>
        <item x="30"/>
        <item x="16"/>
        <item x="45"/>
        <item x="60"/>
        <item x="63"/>
        <item x="64"/>
        <item x="58"/>
        <item x="21"/>
        <item m="1" x="68"/>
        <item x="4"/>
        <item x="42"/>
        <item x="51"/>
        <item x="39"/>
        <item m="1" x="69"/>
        <item x="6"/>
        <item x="10"/>
        <item x="35"/>
        <item x="25"/>
        <item x="34"/>
        <item x="59"/>
        <item x="62"/>
        <item x="47"/>
        <item x="66"/>
        <item x="0"/>
        <item x="2"/>
        <item x="44"/>
        <item x="23"/>
        <item x="53"/>
        <item x="11"/>
        <item x="55"/>
        <item x="14"/>
        <item x="50"/>
        <item x="19"/>
        <item x="31"/>
        <item x="8"/>
        <item x="38"/>
        <item x="3"/>
        <item x="56"/>
        <item x="9"/>
        <item x="52"/>
        <item x="15"/>
        <item x="33"/>
        <item x="46"/>
        <item x="26"/>
        <item x="27"/>
        <item x="7"/>
        <item x="5"/>
        <item m="1" x="72"/>
        <item x="28"/>
        <item x="20"/>
        <item x="36"/>
        <item x="1"/>
        <item x="18"/>
        <item x="17"/>
        <item x="57"/>
        <item x="48"/>
        <item x="41"/>
        <item x="12"/>
        <item x="37"/>
        <item x="67"/>
        <item x="49"/>
        <item x="61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2"/>
    <field x="4"/>
  </rowFields>
  <rowItems count="83">
    <i>
      <x/>
      <x v="9"/>
    </i>
    <i t="default">
      <x/>
    </i>
    <i>
      <x v="2"/>
      <x v="63"/>
    </i>
    <i t="default">
      <x v="2"/>
    </i>
    <i>
      <x v="3"/>
      <x v="28"/>
    </i>
    <i r="1">
      <x v="38"/>
    </i>
    <i r="1">
      <x v="57"/>
    </i>
    <i r="1">
      <x v="62"/>
    </i>
    <i r="1">
      <x v="64"/>
    </i>
    <i r="1">
      <x v="65"/>
    </i>
    <i t="default">
      <x v="3"/>
    </i>
    <i>
      <x v="4"/>
      <x v="7"/>
    </i>
    <i r="1">
      <x v="73"/>
    </i>
    <i t="default">
      <x v="4"/>
    </i>
    <i>
      <x v="6"/>
      <x v="15"/>
    </i>
    <i r="1">
      <x v="16"/>
    </i>
    <i r="1">
      <x v="17"/>
    </i>
    <i r="1">
      <x v="18"/>
    </i>
    <i r="1">
      <x v="29"/>
    </i>
    <i r="1">
      <x v="30"/>
    </i>
    <i r="1">
      <x v="31"/>
    </i>
    <i r="1">
      <x v="32"/>
    </i>
    <i t="default">
      <x v="6"/>
    </i>
    <i>
      <x v="7"/>
      <x v="4"/>
    </i>
    <i r="1">
      <x v="21"/>
    </i>
    <i r="1">
      <x v="42"/>
    </i>
    <i t="default">
      <x v="7"/>
    </i>
    <i>
      <x v="8"/>
      <x v="72"/>
    </i>
    <i t="default">
      <x v="8"/>
    </i>
    <i>
      <x v="9"/>
      <x v="23"/>
    </i>
    <i t="default">
      <x v="9"/>
    </i>
    <i>
      <x v="10"/>
      <x v="6"/>
    </i>
    <i r="1">
      <x v="61"/>
    </i>
    <i t="default">
      <x v="10"/>
    </i>
    <i>
      <x v="11"/>
      <x v="2"/>
    </i>
    <i r="1">
      <x v="5"/>
    </i>
    <i r="1">
      <x v="10"/>
    </i>
    <i r="1">
      <x v="12"/>
    </i>
    <i r="1">
      <x v="24"/>
    </i>
    <i r="1">
      <x v="26"/>
    </i>
    <i r="1">
      <x v="27"/>
    </i>
    <i r="1">
      <x v="34"/>
    </i>
    <i r="1">
      <x v="39"/>
    </i>
    <i r="1">
      <x v="40"/>
    </i>
    <i r="1">
      <x v="41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8"/>
    </i>
    <i r="1">
      <x v="60"/>
    </i>
    <i r="1">
      <x v="66"/>
    </i>
    <i r="1">
      <x v="67"/>
    </i>
    <i r="1">
      <x v="69"/>
    </i>
    <i r="1">
      <x v="70"/>
    </i>
    <i t="default">
      <x v="11"/>
    </i>
    <i>
      <x v="12"/>
      <x/>
    </i>
    <i r="1">
      <x v="8"/>
    </i>
    <i r="1">
      <x v="10"/>
    </i>
    <i r="1">
      <x v="13"/>
    </i>
    <i r="1">
      <x v="14"/>
    </i>
    <i r="1">
      <x v="19"/>
    </i>
    <i r="1">
      <x v="22"/>
    </i>
    <i r="1">
      <x v="26"/>
    </i>
    <i r="1">
      <x v="33"/>
    </i>
    <i r="1">
      <x v="35"/>
    </i>
    <i r="1">
      <x v="36"/>
    </i>
    <i r="1">
      <x v="37"/>
    </i>
    <i r="1">
      <x v="44"/>
    </i>
    <i r="1">
      <x v="47"/>
    </i>
    <i r="1">
      <x v="53"/>
    </i>
    <i r="1">
      <x v="55"/>
    </i>
    <i r="1">
      <x v="56"/>
    </i>
    <i r="1">
      <x v="68"/>
    </i>
    <i t="default">
      <x v="12"/>
    </i>
    <i>
      <x v="13"/>
      <x v="71"/>
    </i>
    <i t="default">
      <x v="13"/>
    </i>
    <i t="grand">
      <x/>
    </i>
  </rowItems>
  <colFields count="2">
    <field x="1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6"/>
      <x/>
    </i>
    <i r="1" i="1">
      <x v="1"/>
    </i>
    <i>
      <x v="7"/>
      <x/>
    </i>
    <i r="1" i="1">
      <x v="1"/>
    </i>
    <i t="grand">
      <x/>
    </i>
    <i t="grand" i="1">
      <x/>
    </i>
  </colItems>
  <dataFields count="2">
    <dataField name="Sum of DR" fld="6" baseField="4" baseItem="57" numFmtId="43"/>
    <dataField name="Sum of CR" fld="7" baseField="4" baseItem="57" numFmtId="43"/>
  </dataFields>
  <formats count="32">
    <format dxfId="85">
      <pivotArea type="all" dataOnly="0" outline="0" fieldPosition="0"/>
    </format>
    <format dxfId="84">
      <pivotArea type="all" dataOnly="0" outline="0" fieldPosition="0"/>
    </format>
    <format dxfId="83">
      <pivotArea type="all" dataOnly="0" outline="0" fieldPosition="0"/>
    </format>
    <format dxfId="82">
      <pivotArea type="all" dataOnly="0" outline="0" fieldPosition="0"/>
    </format>
    <format dxfId="81">
      <pivotArea dataOnly="0" outline="0" fieldPosition="0">
        <references count="1">
          <reference field="2" count="0" defaultSubtotal="1"/>
        </references>
      </pivotArea>
    </format>
    <format dxfId="80">
      <pivotArea dataOnly="0" outline="0" fieldPosition="0">
        <references count="1">
          <reference field="4" count="1">
            <x v="9"/>
          </reference>
        </references>
      </pivotArea>
    </format>
    <format dxfId="79">
      <pivotArea dataOnly="0" outline="0" fieldPosition="0">
        <references count="1">
          <reference field="4" count="1">
            <x v="63"/>
          </reference>
        </references>
      </pivotArea>
    </format>
    <format dxfId="78">
      <pivotArea dataOnly="0" outline="0" fieldPosition="0">
        <references count="1">
          <reference field="4" count="6">
            <x v="28"/>
            <x v="38"/>
            <x v="57"/>
            <x v="62"/>
            <x v="64"/>
            <x v="65"/>
          </reference>
        </references>
      </pivotArea>
    </format>
    <format dxfId="77">
      <pivotArea dataOnly="0" outline="0" fieldPosition="0">
        <references count="1">
          <reference field="4" count="1">
            <x v="7"/>
          </reference>
        </references>
      </pivotArea>
    </format>
    <format dxfId="76">
      <pivotArea dataOnly="0" outline="0" fieldPosition="0">
        <references count="1">
          <reference field="4" count="3">
            <x v="40"/>
            <x v="46"/>
            <x v="50"/>
          </reference>
        </references>
      </pivotArea>
    </format>
    <format dxfId="75">
      <pivotArea dataOnly="0" outline="0" fieldPosition="0">
        <references count="1">
          <reference field="4" count="11">
            <x v="39"/>
            <x v="40"/>
            <x v="41"/>
            <x v="43"/>
            <x v="45"/>
            <x v="46"/>
            <x v="48"/>
            <x v="49"/>
            <x v="50"/>
            <x v="51"/>
            <x v="52"/>
          </reference>
        </references>
      </pivotArea>
    </format>
    <format dxfId="74">
      <pivotArea dataOnly="0" outline="0" fieldPosition="0">
        <references count="1">
          <reference field="4" count="5">
            <x v="0"/>
            <x v="19"/>
            <x v="22"/>
            <x v="44"/>
            <x v="68"/>
          </reference>
        </references>
      </pivotArea>
    </format>
    <format dxfId="73">
      <pivotArea dataOnly="0" outline="0" fieldPosition="0">
        <references count="1">
          <reference field="4" count="8">
            <x v="15"/>
            <x v="16"/>
            <x v="17"/>
            <x v="18"/>
            <x v="29"/>
            <x v="30"/>
            <x v="31"/>
            <x v="32"/>
          </reference>
        </references>
      </pivotArea>
    </format>
    <format dxfId="72">
      <pivotArea dataOnly="0" outline="0" fieldPosition="0">
        <references count="1">
          <reference field="4" count="4">
            <x v="4"/>
            <x v="11"/>
            <x v="21"/>
            <x v="42"/>
          </reference>
        </references>
      </pivotArea>
    </format>
    <format dxfId="71">
      <pivotArea dataOnly="0" outline="0" fieldPosition="0">
        <references count="1">
          <reference field="4" count="1">
            <x v="20"/>
          </reference>
        </references>
      </pivotArea>
    </format>
    <format dxfId="70">
      <pivotArea dataOnly="0" outline="0" fieldPosition="0">
        <references count="1">
          <reference field="4" count="1">
            <x v="23"/>
          </reference>
        </references>
      </pivotArea>
    </format>
    <format dxfId="69">
      <pivotArea dataOnly="0" outline="0" fieldPosition="0">
        <references count="1">
          <reference field="4" count="2">
            <x v="6"/>
            <x v="61"/>
          </reference>
        </references>
      </pivotArea>
    </format>
    <format dxfId="68">
      <pivotArea dataOnly="0" outline="0" fieldPosition="0">
        <references count="1">
          <reference field="4" count="1">
            <x v="26"/>
          </reference>
        </references>
      </pivotArea>
    </format>
    <format dxfId="67">
      <pivotArea dataOnly="0" outline="0" fieldPosition="0">
        <references count="1">
          <reference field="4" count="1">
            <x v="53"/>
          </reference>
        </references>
      </pivotArea>
    </format>
    <format dxfId="66">
      <pivotArea dataOnly="0" outline="0" fieldPosition="0">
        <references count="1">
          <reference field="4" count="6">
            <x v="0"/>
            <x v="13"/>
            <x v="19"/>
            <x v="22"/>
            <x v="44"/>
            <x v="68"/>
          </reference>
        </references>
      </pivotArea>
    </format>
    <format dxfId="65">
      <pivotArea dataOnly="0" outline="0" fieldPosition="0">
        <references count="1">
          <reference field="4" count="7">
            <x v="0"/>
            <x v="4"/>
            <x v="13"/>
            <x v="19"/>
            <x v="22"/>
            <x v="44"/>
            <x v="68"/>
          </reference>
        </references>
      </pivotArea>
    </format>
    <format dxfId="64">
      <pivotArea dataOnly="0" outline="0" fieldPosition="0">
        <references count="1">
          <reference field="4" count="4">
            <x v="4"/>
            <x v="11"/>
            <x v="21"/>
            <x v="42"/>
          </reference>
        </references>
      </pivotArea>
    </format>
    <format dxfId="63">
      <pivotArea dataOnly="0" outline="0" fieldPosition="0">
        <references count="1">
          <reference field="4" count="9">
            <x v="0"/>
            <x v="8"/>
            <x v="10"/>
            <x v="13"/>
            <x v="14"/>
            <x v="19"/>
            <x v="22"/>
            <x v="44"/>
            <x v="68"/>
          </reference>
        </references>
      </pivotArea>
    </format>
    <format dxfId="62">
      <pivotArea dataOnly="0" outline="0" fieldPosition="0">
        <references count="1">
          <reference field="4" count="1">
            <x v="48"/>
          </reference>
        </references>
      </pivotArea>
    </format>
    <format dxfId="61">
      <pivotArea dataOnly="0" outline="0" fieldPosition="0">
        <references count="1">
          <reference field="4" count="1">
            <x v="72"/>
          </reference>
        </references>
      </pivotArea>
    </format>
    <format dxfId="60">
      <pivotArea dataOnly="0" outline="0" fieldPosition="0">
        <references count="1">
          <reference field="4" count="1">
            <x v="36"/>
          </reference>
        </references>
      </pivotArea>
    </format>
    <format dxfId="59">
      <pivotArea dataOnly="0" outline="0" fieldPosition="0">
        <references count="1">
          <reference field="4" count="1">
            <x v="48"/>
          </reference>
        </references>
      </pivotArea>
    </format>
    <format dxfId="58">
      <pivotArea outline="0" fieldPosition="0">
        <references count="2">
          <reference field="2" count="1" selected="0">
            <x v="12"/>
          </reference>
          <reference field="4" count="1" selected="0">
            <x v="55"/>
          </reference>
        </references>
      </pivotArea>
    </format>
    <format dxfId="57">
      <pivotArea dataOnly="0" labelOnly="1" outline="0" fieldPosition="0">
        <references count="2">
          <reference field="2" count="1" selected="0">
            <x v="12"/>
          </reference>
          <reference field="4" count="1">
            <x v="55"/>
          </reference>
        </references>
      </pivotArea>
    </format>
    <format dxfId="56">
      <pivotArea type="all" dataOnly="0" outline="0" fieldPosition="0"/>
    </format>
    <format dxfId="55">
      <pivotArea dataOnly="0" outline="0" fieldPosition="0">
        <references count="1">
          <reference field="4" count="1">
            <x v="52"/>
          </reference>
        </references>
      </pivotArea>
    </format>
    <format dxfId="54">
      <pivotArea dataOnly="0" outline="0" fieldPosition="0">
        <references count="1">
          <reference field="4" count="1">
            <x v="7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44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5:R80" firstHeaderRow="1" firstDataRow="3" firstDataCol="2"/>
  <pivotFields count="8">
    <pivotField compact="0" outline="0" showAll="0"/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>
      <items count="14">
        <item x="6"/>
        <item x="0"/>
        <item x="5"/>
        <item x="1"/>
        <item m="1" x="12"/>
        <item x="9"/>
        <item x="8"/>
        <item x="7"/>
        <item x="10"/>
        <item x="2"/>
        <item x="3"/>
        <item x="4"/>
        <item x="11"/>
        <item t="default"/>
      </items>
    </pivotField>
    <pivotField compact="0" outline="0" showAll="0"/>
    <pivotField axis="axisRow" compact="0" outline="0" showAll="0" sortType="ascending">
      <items count="58">
        <item x="52"/>
        <item x="4"/>
        <item x="25"/>
        <item x="0"/>
        <item x="12"/>
        <item x="35"/>
        <item x="2"/>
        <item x="51"/>
        <item x="43"/>
        <item x="1"/>
        <item x="44"/>
        <item x="18"/>
        <item x="13"/>
        <item x="24"/>
        <item x="8"/>
        <item x="54"/>
        <item x="15"/>
        <item x="42"/>
        <item m="1" x="56"/>
        <item x="46"/>
        <item x="26"/>
        <item x="22"/>
        <item x="38"/>
        <item x="31"/>
        <item x="10"/>
        <item x="14"/>
        <item x="47"/>
        <item x="45"/>
        <item x="49"/>
        <item x="5"/>
        <item x="27"/>
        <item x="36"/>
        <item x="20"/>
        <item x="37"/>
        <item x="41"/>
        <item x="28"/>
        <item x="19"/>
        <item x="6"/>
        <item x="23"/>
        <item x="17"/>
        <item x="21"/>
        <item x="40"/>
        <item x="34"/>
        <item x="11"/>
        <item x="30"/>
        <item x="29"/>
        <item x="39"/>
        <item x="33"/>
        <item x="53"/>
        <item x="16"/>
        <item x="3"/>
        <item x="32"/>
        <item x="48"/>
        <item x="7"/>
        <item x="9"/>
        <item x="50"/>
        <item x="55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2"/>
    <field x="4"/>
  </rowFields>
  <rowItems count="73">
    <i>
      <x/>
      <x v="11"/>
    </i>
    <i t="default">
      <x/>
    </i>
    <i>
      <x v="1"/>
      <x v="3"/>
    </i>
    <i t="default">
      <x v="1"/>
    </i>
    <i>
      <x v="2"/>
      <x v="53"/>
    </i>
    <i t="default">
      <x v="2"/>
    </i>
    <i>
      <x v="3"/>
      <x v="9"/>
    </i>
    <i r="1">
      <x v="17"/>
    </i>
    <i r="1">
      <x v="51"/>
    </i>
    <i t="default">
      <x v="3"/>
    </i>
    <i>
      <x v="5"/>
      <x v="23"/>
    </i>
    <i t="default">
      <x v="5"/>
    </i>
    <i>
      <x v="6"/>
      <x v="2"/>
    </i>
    <i r="1">
      <x v="7"/>
    </i>
    <i r="1">
      <x v="13"/>
    </i>
    <i r="1">
      <x v="19"/>
    </i>
    <i r="1">
      <x v="20"/>
    </i>
    <i r="1">
      <x v="38"/>
    </i>
    <i t="default">
      <x v="6"/>
    </i>
    <i>
      <x v="7"/>
      <x v="21"/>
    </i>
    <i t="default">
      <x v="7"/>
    </i>
    <i>
      <x v="8"/>
      <x v="22"/>
    </i>
    <i t="default">
      <x v="8"/>
    </i>
    <i>
      <x v="9"/>
      <x v="6"/>
    </i>
    <i r="1">
      <x v="16"/>
    </i>
    <i r="1">
      <x v="34"/>
    </i>
    <i r="1">
      <x v="43"/>
    </i>
    <i r="1">
      <x v="49"/>
    </i>
    <i r="1">
      <x v="52"/>
    </i>
    <i t="default">
      <x v="9"/>
    </i>
    <i>
      <x v="10"/>
      <x/>
    </i>
    <i r="1">
      <x v="1"/>
    </i>
    <i r="1">
      <x v="4"/>
    </i>
    <i r="1">
      <x v="5"/>
    </i>
    <i r="1">
      <x v="8"/>
    </i>
    <i r="1">
      <x v="12"/>
    </i>
    <i r="1">
      <x v="14"/>
    </i>
    <i r="1">
      <x v="15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41"/>
    </i>
    <i r="1">
      <x v="42"/>
    </i>
    <i r="1">
      <x v="44"/>
    </i>
    <i r="1">
      <x v="45"/>
    </i>
    <i r="1">
      <x v="46"/>
    </i>
    <i r="1">
      <x v="48"/>
    </i>
    <i r="1">
      <x v="50"/>
    </i>
    <i r="1">
      <x v="54"/>
    </i>
    <i r="1">
      <x v="55"/>
    </i>
    <i t="default">
      <x v="10"/>
    </i>
    <i>
      <x v="11"/>
      <x v="1"/>
    </i>
    <i r="1">
      <x v="10"/>
    </i>
    <i r="1">
      <x v="12"/>
    </i>
    <i r="1">
      <x v="27"/>
    </i>
    <i r="1">
      <x v="28"/>
    </i>
    <i r="1">
      <x v="39"/>
    </i>
    <i r="1">
      <x v="40"/>
    </i>
    <i r="1">
      <x v="45"/>
    </i>
    <i r="1">
      <x v="47"/>
    </i>
    <i t="default">
      <x v="11"/>
    </i>
    <i>
      <x v="12"/>
      <x v="56"/>
    </i>
    <i t="default">
      <x v="12"/>
    </i>
    <i t="grand">
      <x/>
    </i>
  </rowItems>
  <colFields count="2">
    <field x="1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Sum of DR" fld="6" baseField="2" baseItem="7" numFmtId="43"/>
    <dataField name="Sum of CR" fld="7" baseField="2" baseItem="7" numFmtId="43"/>
  </dataFields>
  <formats count="22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dataOnly="0" outline="0" fieldPosition="0">
        <references count="1">
          <reference field="2" count="0" defaultSubtotal="1"/>
        </references>
      </pivotArea>
    </format>
    <format dxfId="5">
      <pivotArea dataOnly="0" outline="0" fieldPosition="0">
        <references count="1">
          <reference field="4" count="1">
            <x v="11"/>
          </reference>
        </references>
      </pivotArea>
    </format>
    <format dxfId="6">
      <pivotArea dataOnly="0" outline="0" fieldPosition="0">
        <references count="1">
          <reference field="4" count="1">
            <x v="3"/>
          </reference>
        </references>
      </pivotArea>
    </format>
    <format dxfId="7">
      <pivotArea dataOnly="0" outline="0" fieldPosition="0">
        <references count="1">
          <reference field="4" count="1">
            <x v="53"/>
          </reference>
        </references>
      </pivotArea>
    </format>
    <format dxfId="8">
      <pivotArea dataOnly="0" outline="0" fieldPosition="0">
        <references count="1">
          <reference field="4" count="3">
            <x v="9"/>
            <x v="17"/>
            <x v="51"/>
          </reference>
        </references>
      </pivotArea>
    </format>
    <format dxfId="9">
      <pivotArea dataOnly="0" outline="0" fieldPosition="0">
        <references count="1">
          <reference field="4" count="1">
            <x v="27"/>
          </reference>
        </references>
      </pivotArea>
    </format>
    <format dxfId="10">
      <pivotArea dataOnly="0" outline="0" fieldPosition="0">
        <references count="1">
          <reference field="4" count="1">
            <x v="45"/>
          </reference>
        </references>
      </pivotArea>
    </format>
    <format dxfId="11">
      <pivotArea dataOnly="0" outline="0" fieldPosition="0">
        <references count="1">
          <reference field="4" count="1">
            <x v="1"/>
          </reference>
        </references>
      </pivotArea>
    </format>
    <format dxfId="12">
      <pivotArea dataOnly="0" outline="0" fieldPosition="0">
        <references count="1">
          <reference field="4" count="2">
            <x v="30"/>
            <x v="35"/>
          </reference>
        </references>
      </pivotArea>
    </format>
    <format dxfId="13">
      <pivotArea dataOnly="0" outline="0" fieldPosition="0">
        <references count="1">
          <reference field="4" count="5">
            <x v="2"/>
            <x v="13"/>
            <x v="19"/>
            <x v="20"/>
            <x v="38"/>
          </reference>
        </references>
      </pivotArea>
    </format>
    <format dxfId="14">
      <pivotArea dataOnly="0" outline="0" fieldPosition="0">
        <references count="1">
          <reference field="4" count="1">
            <x v="23"/>
          </reference>
        </references>
      </pivotArea>
    </format>
    <format dxfId="15">
      <pivotArea dataOnly="0" outline="0" fieldPosition="0">
        <references count="1">
          <reference field="4" count="1">
            <x v="21"/>
          </reference>
        </references>
      </pivotArea>
    </format>
    <format dxfId="16">
      <pivotArea dataOnly="0" outline="0" fieldPosition="0">
        <references count="1">
          <reference field="4" count="1">
            <x v="22"/>
          </reference>
        </references>
      </pivotArea>
    </format>
    <format dxfId="17">
      <pivotArea dataOnly="0" outline="0" fieldPosition="0">
        <references count="1">
          <reference field="4" count="6">
            <x v="6"/>
            <x v="16"/>
            <x v="34"/>
            <x v="43"/>
            <x v="49"/>
            <x v="52"/>
          </reference>
        </references>
      </pivotArea>
    </format>
    <format dxfId="18">
      <pivotArea dataOnly="0" outline="0" fieldPosition="0">
        <references count="1">
          <reference field="4" count="6">
            <x v="32"/>
            <x v="33"/>
            <x v="35"/>
            <x v="36"/>
            <x v="37"/>
            <x v="41"/>
          </reference>
        </references>
      </pivotArea>
    </format>
    <format dxfId="19">
      <pivotArea dataOnly="0" outline="0" fieldPosition="0">
        <references count="1">
          <reference field="4" count="5">
            <x v="2"/>
            <x v="7"/>
            <x v="13"/>
            <x v="19"/>
            <x v="20"/>
          </reference>
        </references>
      </pivotArea>
    </format>
    <format dxfId="20">
      <pivotArea dataOnly="0" outline="0" fieldPosition="0">
        <references count="1">
          <reference field="4" count="1">
            <x v="30"/>
          </reference>
        </references>
      </pivotArea>
    </format>
    <format dxfId="2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G28" totalsRowShown="0" dataDxfId="125">
  <autoFilter ref="A2:G28"/>
  <sortState ref="A2:G27">
    <sortCondition ref="E1:E27"/>
  </sortState>
  <tableColumns count="7">
    <tableColumn id="1" name="Date" dataDxfId="124"/>
    <tableColumn id="2" name="MONTH" dataDxfId="123"/>
    <tableColumn id="3" name="TYPE" dataDxfId="122"/>
    <tableColumn id="4" name="Cheque_No" dataDxfId="121"/>
    <tableColumn id="5" name="Category" dataDxfId="120"/>
    <tableColumn id="7" name="DR" dataDxfId="119"/>
    <tableColumn id="8" name="CR" dataDxfId="1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G5" totalsRowShown="0" dataDxfId="117">
  <autoFilter ref="A2:G5"/>
  <tableColumns count="7">
    <tableColumn id="1" name="Date" dataDxfId="116"/>
    <tableColumn id="2" name="MONTH" dataDxfId="115"/>
    <tableColumn id="3" name="TYPE" dataDxfId="114"/>
    <tableColumn id="4" name="Cheque_No" dataDxfId="113"/>
    <tableColumn id="5" name="Category" dataDxfId="112"/>
    <tableColumn id="7" name="DR" dataDxfId="111"/>
    <tableColumn id="8" name="CR" dataDxfId="1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le27" displayName="Table27" ref="A18:G48" totalsRowShown="0" dataDxfId="53">
  <autoFilter ref="A18:G48"/>
  <sortState ref="A19:G48">
    <sortCondition ref="E3:E33"/>
  </sortState>
  <tableColumns count="7">
    <tableColumn id="1" name="Date" dataDxfId="52"/>
    <tableColumn id="2" name="MONTH" dataDxfId="51"/>
    <tableColumn id="3" name="TYPE" dataDxfId="50"/>
    <tableColumn id="4" name="Cheque_No" dataDxfId="49"/>
    <tableColumn id="5" name="Category" dataDxfId="48"/>
    <tableColumn id="7" name="DR" dataDxfId="47"/>
    <tableColumn id="8" name="CR" dataDxfId="4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2:G44" totalsRowShown="0" dataDxfId="109">
  <autoFilter ref="A2:G44"/>
  <sortState ref="A2:G20">
    <sortCondition ref="E1:E20"/>
  </sortState>
  <tableColumns count="7">
    <tableColumn id="1" name="Date" dataDxfId="108"/>
    <tableColumn id="2" name="MONTH" dataDxfId="107"/>
    <tableColumn id="3" name="TYPE" dataDxfId="106"/>
    <tableColumn id="4" name="Cheque_No" dataDxfId="105"/>
    <tableColumn id="5" name="Category" dataDxfId="104"/>
    <tableColumn id="7" name="DR" dataDxfId="103"/>
    <tableColumn id="8" name="CR" dataDxfId="10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le38" displayName="Table38" ref="A51:G57" totalsRowShown="0" dataDxfId="45">
  <autoFilter ref="A51:G57"/>
  <sortState ref="A52:G56">
    <sortCondition ref="A3:A8"/>
  </sortState>
  <tableColumns count="7">
    <tableColumn id="1" name="Date" dataDxfId="44"/>
    <tableColumn id="2" name="MONTH" dataDxfId="43"/>
    <tableColumn id="3" name="TYPE" dataDxfId="42"/>
    <tableColumn id="4" name="Cheque_No" dataDxfId="41"/>
    <tableColumn id="5" name="Category" dataDxfId="40"/>
    <tableColumn id="7" name="DR" dataDxfId="39"/>
    <tableColumn id="8" name="CR" dataDxfId="3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2:G37" totalsRowShown="0" dataDxfId="101">
  <autoFilter ref="A2:G37"/>
  <sortState ref="A2:G24">
    <sortCondition ref="E1:E24"/>
  </sortState>
  <tableColumns count="7">
    <tableColumn id="1" name="Date" dataDxfId="100"/>
    <tableColumn id="2" name="MONTH" dataDxfId="99"/>
    <tableColumn id="3" name="TYPE" dataDxfId="98"/>
    <tableColumn id="4" name="Cheque_No" dataDxfId="97"/>
    <tableColumn id="5" name="Category" dataDxfId="96"/>
    <tableColumn id="7" name="DR" dataDxfId="95"/>
    <tableColumn id="8" name="CR" dataDxfId="9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Table49" displayName="Table49" ref="A48:G82" totalsRowShown="0" dataDxfId="37">
  <autoFilter ref="A48:G82"/>
  <sortState ref="A49:G59">
    <sortCondition ref="E3:E14"/>
  </sortState>
  <tableColumns count="7">
    <tableColumn id="1" name="Date" dataDxfId="36"/>
    <tableColumn id="2" name="MONTH" dataDxfId="35"/>
    <tableColumn id="3" name="TYPE" dataDxfId="34"/>
    <tableColumn id="4" name="Cheque_No" dataDxfId="33"/>
    <tableColumn id="5" name="Category" dataDxfId="32"/>
    <tableColumn id="7" name="DR" dataDxfId="31"/>
    <tableColumn id="8" name="CR" dataDxfId="3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" name="Table5" displayName="Table5" ref="A2:G3" totalsRowShown="0" dataDxfId="93">
  <autoFilter ref="A2:G3"/>
  <tableColumns count="7">
    <tableColumn id="1" name="Date" dataDxfId="92"/>
    <tableColumn id="2" name="MONTH" dataDxfId="91"/>
    <tableColumn id="3" name="TYPE" dataDxfId="90"/>
    <tableColumn id="4" name="Cheque_No" dataDxfId="89"/>
    <tableColumn id="5" name="Category" dataDxfId="88"/>
    <tableColumn id="7" name="DR" dataDxfId="87"/>
    <tableColumn id="8" name="CR" dataDxfId="8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510" displayName="Table510" ref="A13:G18" totalsRowShown="0" dataDxfId="29">
  <autoFilter ref="A13:G18"/>
  <sortState ref="A14:G18">
    <sortCondition ref="A3:A8"/>
  </sortState>
  <tableColumns count="7">
    <tableColumn id="1" name="Date" dataDxfId="28"/>
    <tableColumn id="2" name="MONTH" dataDxfId="27"/>
    <tableColumn id="3" name="TYPE" dataDxfId="26"/>
    <tableColumn id="4" name="Cheque_No" dataDxfId="25"/>
    <tableColumn id="5" name="Category" dataDxfId="24"/>
    <tableColumn id="7" name="DR" dataDxfId="23"/>
    <tableColumn id="8" name="CR" dataDxfId="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opLeftCell="A40" workbookViewId="0">
      <selection activeCell="I63" sqref="I63"/>
    </sheetView>
  </sheetViews>
  <sheetFormatPr defaultRowHeight="15" x14ac:dyDescent="0.25"/>
  <cols>
    <col min="1" max="1" width="1.85546875" customWidth="1"/>
    <col min="2" max="2" width="40.28515625" customWidth="1"/>
    <col min="3" max="9" width="15" customWidth="1"/>
  </cols>
  <sheetData>
    <row r="1" spans="1:9" ht="18" customHeight="1" x14ac:dyDescent="0.25">
      <c r="A1" s="1" t="s">
        <v>0</v>
      </c>
    </row>
    <row r="2" spans="1:9" x14ac:dyDescent="0.25">
      <c r="B2" s="2" t="s">
        <v>1</v>
      </c>
      <c r="C2" s="75" t="s">
        <v>2</v>
      </c>
      <c r="D2" s="76"/>
      <c r="E2" s="76"/>
    </row>
    <row r="3" spans="1:9" x14ac:dyDescent="0.25">
      <c r="B3" s="2" t="s">
        <v>3</v>
      </c>
      <c r="C3" s="77" t="s">
        <v>4</v>
      </c>
      <c r="D3" s="76"/>
      <c r="E3" s="76"/>
    </row>
    <row r="4" spans="1:9" x14ac:dyDescent="0.25">
      <c r="B4" s="2" t="s">
        <v>5</v>
      </c>
      <c r="C4" s="77"/>
      <c r="D4" s="76"/>
      <c r="E4" s="76"/>
    </row>
    <row r="5" spans="1:9" x14ac:dyDescent="0.25">
      <c r="B5" s="2" t="s">
        <v>6</v>
      </c>
      <c r="C5" s="77"/>
      <c r="D5" s="76"/>
      <c r="E5" s="76"/>
    </row>
    <row r="6" spans="1:9" x14ac:dyDescent="0.25">
      <c r="B6" s="2" t="s">
        <v>7</v>
      </c>
      <c r="C6" s="77"/>
      <c r="D6" s="76"/>
      <c r="E6" s="76"/>
    </row>
    <row r="7" spans="1:9" x14ac:dyDescent="0.25">
      <c r="B7" s="2" t="s">
        <v>8</v>
      </c>
      <c r="C7" s="77" t="s">
        <v>9</v>
      </c>
      <c r="D7" s="76"/>
      <c r="E7" s="76"/>
    </row>
    <row r="8" spans="1:9" x14ac:dyDescent="0.25">
      <c r="B8" s="2" t="s">
        <v>10</v>
      </c>
      <c r="C8" s="77" t="s">
        <v>11</v>
      </c>
      <c r="D8" s="76"/>
      <c r="E8" s="76"/>
    </row>
    <row r="9" spans="1:9" x14ac:dyDescent="0.25">
      <c r="B9" s="2" t="s">
        <v>12</v>
      </c>
      <c r="C9" s="77" t="s">
        <v>13</v>
      </c>
      <c r="D9" s="76"/>
      <c r="E9" s="76"/>
    </row>
    <row r="11" spans="1:9" ht="18" customHeight="1" x14ac:dyDescent="0.25">
      <c r="A11" s="1" t="s">
        <v>14</v>
      </c>
    </row>
    <row r="12" spans="1:9" x14ac:dyDescent="0.25">
      <c r="B12" s="3"/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s">
        <v>20</v>
      </c>
      <c r="I12" s="5" t="s">
        <v>21</v>
      </c>
    </row>
    <row r="13" spans="1:9" x14ac:dyDescent="0.25">
      <c r="B13" s="6" t="s">
        <v>22</v>
      </c>
      <c r="C13" s="7">
        <v>71</v>
      </c>
      <c r="D13" s="7">
        <v>89</v>
      </c>
      <c r="E13" s="7">
        <v>43</v>
      </c>
      <c r="F13" s="7">
        <v>54</v>
      </c>
      <c r="G13" s="7">
        <v>48</v>
      </c>
      <c r="H13" s="7">
        <v>26</v>
      </c>
      <c r="I13" s="7">
        <f t="shared" ref="I13:I46" si="0">SUM(B13:H13)</f>
        <v>331</v>
      </c>
    </row>
    <row r="14" spans="1:9" x14ac:dyDescent="0.25">
      <c r="B14" s="6" t="s">
        <v>23</v>
      </c>
      <c r="C14" s="8">
        <v>47724778</v>
      </c>
      <c r="D14" s="8">
        <v>45540610.600000001</v>
      </c>
      <c r="E14" s="8">
        <v>32281912</v>
      </c>
      <c r="F14" s="8">
        <v>42903931</v>
      </c>
      <c r="G14" s="8">
        <v>38198233</v>
      </c>
      <c r="H14" s="8">
        <v>18006852.239999998</v>
      </c>
      <c r="I14" s="8">
        <f t="shared" si="0"/>
        <v>224656316.84</v>
      </c>
    </row>
    <row r="15" spans="1:9" x14ac:dyDescent="0.25">
      <c r="B15" s="6" t="s">
        <v>24</v>
      </c>
      <c r="C15" s="7">
        <v>65</v>
      </c>
      <c r="D15" s="7">
        <v>76</v>
      </c>
      <c r="E15" s="7">
        <v>56</v>
      </c>
      <c r="F15" s="7">
        <v>76</v>
      </c>
      <c r="G15" s="7">
        <v>67</v>
      </c>
      <c r="H15" s="7">
        <v>44</v>
      </c>
      <c r="I15" s="7">
        <f t="shared" si="0"/>
        <v>384</v>
      </c>
    </row>
    <row r="16" spans="1:9" x14ac:dyDescent="0.25">
      <c r="B16" s="6" t="s">
        <v>25</v>
      </c>
      <c r="C16" s="8">
        <v>46403256.539999999</v>
      </c>
      <c r="D16" s="8">
        <v>46380731.210000001</v>
      </c>
      <c r="E16" s="8">
        <v>32519360.359999999</v>
      </c>
      <c r="F16" s="8">
        <v>42611296.719999999</v>
      </c>
      <c r="G16" s="8">
        <v>35674195</v>
      </c>
      <c r="H16" s="8">
        <v>20153318.079999998</v>
      </c>
      <c r="I16" s="8">
        <f t="shared" si="0"/>
        <v>223742157.90999997</v>
      </c>
    </row>
    <row r="17" spans="2:9" x14ac:dyDescent="0.25">
      <c r="B17" s="6" t="s">
        <v>26</v>
      </c>
      <c r="C17" s="7">
        <v>0</v>
      </c>
      <c r="D17" s="7">
        <v>0</v>
      </c>
      <c r="E17" s="7">
        <v>0</v>
      </c>
      <c r="F17" s="7">
        <v>2</v>
      </c>
      <c r="G17" s="7">
        <v>1</v>
      </c>
      <c r="H17" s="7">
        <v>0</v>
      </c>
      <c r="I17" s="7">
        <f t="shared" si="0"/>
        <v>3</v>
      </c>
    </row>
    <row r="18" spans="2:9" x14ac:dyDescent="0.25">
      <c r="B18" s="6" t="s">
        <v>27</v>
      </c>
      <c r="C18" s="8">
        <v>0</v>
      </c>
      <c r="D18" s="8">
        <v>0</v>
      </c>
      <c r="E18" s="8">
        <v>0</v>
      </c>
      <c r="F18" s="8">
        <v>1700000</v>
      </c>
      <c r="G18" s="8">
        <v>700000</v>
      </c>
      <c r="H18" s="8">
        <v>0</v>
      </c>
      <c r="I18" s="8">
        <f t="shared" si="0"/>
        <v>2400000</v>
      </c>
    </row>
    <row r="19" spans="2:9" x14ac:dyDescent="0.25">
      <c r="B19" s="6" t="s">
        <v>28</v>
      </c>
      <c r="C19" s="7">
        <v>3</v>
      </c>
      <c r="D19" s="7">
        <v>4</v>
      </c>
      <c r="E19" s="7">
        <v>1</v>
      </c>
      <c r="F19" s="7">
        <v>4</v>
      </c>
      <c r="G19" s="7">
        <v>3</v>
      </c>
      <c r="H19" s="7">
        <v>0</v>
      </c>
      <c r="I19" s="7">
        <f t="shared" si="0"/>
        <v>15</v>
      </c>
    </row>
    <row r="20" spans="2:9" x14ac:dyDescent="0.25">
      <c r="B20" s="6" t="s">
        <v>29</v>
      </c>
      <c r="C20" s="8">
        <v>225000</v>
      </c>
      <c r="D20" s="8">
        <v>650000</v>
      </c>
      <c r="E20" s="8">
        <v>50000</v>
      </c>
      <c r="F20" s="8">
        <v>580000</v>
      </c>
      <c r="G20" s="8">
        <v>450000</v>
      </c>
      <c r="H20" s="8">
        <v>0</v>
      </c>
      <c r="I20" s="8">
        <f t="shared" si="0"/>
        <v>1955000</v>
      </c>
    </row>
    <row r="21" spans="2:9" x14ac:dyDescent="0.25">
      <c r="B21" s="6" t="s">
        <v>30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f t="shared" si="0"/>
        <v>0</v>
      </c>
    </row>
    <row r="22" spans="2:9" x14ac:dyDescent="0.25">
      <c r="B22" s="6" t="s">
        <v>31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f t="shared" si="0"/>
        <v>0</v>
      </c>
    </row>
    <row r="23" spans="2:9" x14ac:dyDescent="0.25">
      <c r="B23" s="6" t="s">
        <v>32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f t="shared" si="0"/>
        <v>0</v>
      </c>
    </row>
    <row r="24" spans="2:9" x14ac:dyDescent="0.25">
      <c r="B24" s="6" t="s">
        <v>33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f t="shared" si="0"/>
        <v>0</v>
      </c>
    </row>
    <row r="25" spans="2:9" x14ac:dyDescent="0.25">
      <c r="B25" s="6" t="s">
        <v>34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f t="shared" si="0"/>
        <v>0</v>
      </c>
    </row>
    <row r="26" spans="2:9" x14ac:dyDescent="0.25">
      <c r="B26" s="6" t="s">
        <v>35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f t="shared" si="0"/>
        <v>0</v>
      </c>
    </row>
    <row r="27" spans="2:9" x14ac:dyDescent="0.25">
      <c r="B27" s="9" t="s">
        <v>36</v>
      </c>
      <c r="C27" s="7">
        <v>0</v>
      </c>
      <c r="D27" s="7">
        <v>0</v>
      </c>
      <c r="E27" s="7">
        <v>1</v>
      </c>
      <c r="F27" s="7">
        <v>0</v>
      </c>
      <c r="G27" s="7">
        <v>0</v>
      </c>
      <c r="H27" s="7">
        <v>0</v>
      </c>
      <c r="I27" s="7">
        <f t="shared" si="0"/>
        <v>1</v>
      </c>
    </row>
    <row r="28" spans="2:9" x14ac:dyDescent="0.25">
      <c r="B28" s="9" t="s">
        <v>37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f t="shared" si="0"/>
        <v>0</v>
      </c>
    </row>
    <row r="29" spans="2:9" x14ac:dyDescent="0.25">
      <c r="B29" s="9" t="s">
        <v>38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f t="shared" si="0"/>
        <v>0</v>
      </c>
    </row>
    <row r="30" spans="2:9" x14ac:dyDescent="0.25">
      <c r="B30" s="9" t="s">
        <v>39</v>
      </c>
      <c r="C30" s="8">
        <v>732469.01</v>
      </c>
      <c r="D30" s="8">
        <v>204512.94</v>
      </c>
      <c r="E30" s="8">
        <v>174344.4</v>
      </c>
      <c r="F30" s="8">
        <v>724631.04000000004</v>
      </c>
      <c r="G30" s="8">
        <v>93006.32</v>
      </c>
      <c r="H30" s="8">
        <v>1778007.78</v>
      </c>
      <c r="I30" s="8">
        <f t="shared" si="0"/>
        <v>3706971.49</v>
      </c>
    </row>
    <row r="31" spans="2:9" x14ac:dyDescent="0.25">
      <c r="B31" s="9" t="s">
        <v>40</v>
      </c>
      <c r="C31" s="8">
        <v>135631.01</v>
      </c>
      <c r="D31" s="8">
        <v>2462065.94</v>
      </c>
      <c r="E31" s="8">
        <v>104880.43</v>
      </c>
      <c r="F31" s="8">
        <v>157784.85999999999</v>
      </c>
      <c r="G31" s="8">
        <v>217214.32</v>
      </c>
      <c r="H31" s="8">
        <v>970065.48</v>
      </c>
      <c r="I31" s="8">
        <f t="shared" si="0"/>
        <v>4047642.04</v>
      </c>
    </row>
    <row r="32" spans="2:9" x14ac:dyDescent="0.25">
      <c r="B32" s="9" t="s">
        <v>41</v>
      </c>
      <c r="C32" s="8">
        <v>1377428.01</v>
      </c>
      <c r="D32" s="8">
        <v>537307.4</v>
      </c>
      <c r="E32" s="8">
        <v>299859.03999999998</v>
      </c>
      <c r="F32" s="8">
        <v>592493.31999999995</v>
      </c>
      <c r="G32" s="8">
        <v>3116531.32</v>
      </c>
      <c r="H32" s="8">
        <v>970065.48</v>
      </c>
      <c r="I32" s="8">
        <f t="shared" si="0"/>
        <v>6893684.5700000003</v>
      </c>
    </row>
    <row r="33" spans="2:9" x14ac:dyDescent="0.25">
      <c r="B33" s="9" t="s">
        <v>42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f t="shared" si="0"/>
        <v>0</v>
      </c>
    </row>
    <row r="34" spans="2:9" x14ac:dyDescent="0.25">
      <c r="B34" s="9" t="s">
        <v>43</v>
      </c>
      <c r="C34" s="10">
        <f t="shared" ref="C34:H34" si="1">IF(C23 &gt; 0, C25 / C23, 0)</f>
        <v>0</v>
      </c>
      <c r="D34" s="10">
        <f t="shared" si="1"/>
        <v>0</v>
      </c>
      <c r="E34" s="10">
        <f t="shared" si="1"/>
        <v>0</v>
      </c>
      <c r="F34" s="10">
        <f t="shared" si="1"/>
        <v>0</v>
      </c>
      <c r="G34" s="10">
        <f t="shared" si="1"/>
        <v>0</v>
      </c>
      <c r="H34" s="10">
        <f t="shared" si="1"/>
        <v>0</v>
      </c>
      <c r="I34" s="10">
        <f t="shared" si="0"/>
        <v>0</v>
      </c>
    </row>
    <row r="35" spans="2:9" x14ac:dyDescent="0.25">
      <c r="B35" s="9" t="s">
        <v>44</v>
      </c>
      <c r="C35" s="10">
        <f t="shared" ref="C35:H35" si="2">IF(C21 &gt; 0, C26 / C21, 0)</f>
        <v>0</v>
      </c>
      <c r="D35" s="10">
        <f t="shared" si="2"/>
        <v>0</v>
      </c>
      <c r="E35" s="10">
        <f t="shared" si="2"/>
        <v>0</v>
      </c>
      <c r="F35" s="10">
        <f t="shared" si="2"/>
        <v>0</v>
      </c>
      <c r="G35" s="10">
        <f t="shared" si="2"/>
        <v>0</v>
      </c>
      <c r="H35" s="10">
        <f t="shared" si="2"/>
        <v>0</v>
      </c>
      <c r="I35" s="10">
        <f t="shared" si="0"/>
        <v>0</v>
      </c>
    </row>
    <row r="36" spans="2:9" x14ac:dyDescent="0.25">
      <c r="B36" s="9" t="s">
        <v>45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f t="shared" si="0"/>
        <v>0</v>
      </c>
    </row>
    <row r="37" spans="2:9" x14ac:dyDescent="0.25">
      <c r="B37" s="9" t="s">
        <v>46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f t="shared" si="0"/>
        <v>0</v>
      </c>
    </row>
    <row r="38" spans="2:9" x14ac:dyDescent="0.25">
      <c r="B38" s="9" t="s">
        <v>47</v>
      </c>
      <c r="C38" s="8">
        <f t="shared" ref="C38:H38" si="3">IF(0 &gt; 0, C37 / 0, 0)</f>
        <v>0</v>
      </c>
      <c r="D38" s="8">
        <f t="shared" si="3"/>
        <v>0</v>
      </c>
      <c r="E38" s="8">
        <f t="shared" si="3"/>
        <v>0</v>
      </c>
      <c r="F38" s="8">
        <f t="shared" si="3"/>
        <v>0</v>
      </c>
      <c r="G38" s="8">
        <f t="shared" si="3"/>
        <v>0</v>
      </c>
      <c r="H38" s="8">
        <f t="shared" si="3"/>
        <v>0</v>
      </c>
      <c r="I38" s="8">
        <f t="shared" si="0"/>
        <v>0</v>
      </c>
    </row>
    <row r="39" spans="2:9" x14ac:dyDescent="0.25">
      <c r="B39" s="9" t="s">
        <v>48</v>
      </c>
      <c r="C39" s="10">
        <f t="shared" ref="C39:H39" si="4">IF(0 &gt; 0, C38 / C28, 0)</f>
        <v>0</v>
      </c>
      <c r="D39" s="10">
        <f t="shared" si="4"/>
        <v>0</v>
      </c>
      <c r="E39" s="10">
        <f t="shared" si="4"/>
        <v>0</v>
      </c>
      <c r="F39" s="10">
        <f t="shared" si="4"/>
        <v>0</v>
      </c>
      <c r="G39" s="10">
        <f t="shared" si="4"/>
        <v>0</v>
      </c>
      <c r="H39" s="10">
        <f t="shared" si="4"/>
        <v>0</v>
      </c>
      <c r="I39" s="10">
        <f t="shared" si="0"/>
        <v>0</v>
      </c>
    </row>
    <row r="40" spans="2:9" x14ac:dyDescent="0.25">
      <c r="B40" s="9" t="s">
        <v>49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f t="shared" si="0"/>
        <v>0</v>
      </c>
    </row>
    <row r="41" spans="2:9" x14ac:dyDescent="0.25">
      <c r="B41" s="9" t="s">
        <v>50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f t="shared" si="0"/>
        <v>0</v>
      </c>
    </row>
    <row r="42" spans="2:9" x14ac:dyDescent="0.25">
      <c r="B42" s="9" t="s">
        <v>51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f t="shared" si="0"/>
        <v>0</v>
      </c>
    </row>
    <row r="43" spans="2:9" ht="25.5" customHeight="1" x14ac:dyDescent="0.25">
      <c r="B43" s="9" t="s">
        <v>52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f t="shared" si="0"/>
        <v>0</v>
      </c>
    </row>
    <row r="44" spans="2:9" x14ac:dyDescent="0.25">
      <c r="B44" s="6" t="s">
        <v>53</v>
      </c>
      <c r="C44" s="8">
        <v>71089.009999999995</v>
      </c>
      <c r="D44" s="8">
        <v>219458.01</v>
      </c>
      <c r="E44" s="8">
        <v>869387.4</v>
      </c>
      <c r="F44" s="8">
        <v>53901.04</v>
      </c>
      <c r="G44" s="8">
        <v>1395659.32</v>
      </c>
      <c r="H44" s="8">
        <v>468994.32</v>
      </c>
      <c r="I44" s="8">
        <f t="shared" si="0"/>
        <v>3078489.1</v>
      </c>
    </row>
    <row r="45" spans="2:9" x14ac:dyDescent="0.25">
      <c r="B45" s="6" t="s">
        <v>54</v>
      </c>
      <c r="C45" s="8">
        <v>727288.01</v>
      </c>
      <c r="D45" s="8">
        <v>307123.94</v>
      </c>
      <c r="E45" s="8">
        <v>532877.43000000005</v>
      </c>
      <c r="F45" s="8">
        <v>688364.86</v>
      </c>
      <c r="G45" s="8">
        <v>3211803.32</v>
      </c>
      <c r="H45" s="8">
        <v>1262130.02</v>
      </c>
      <c r="I45" s="8">
        <f t="shared" si="0"/>
        <v>6729587.5800000001</v>
      </c>
    </row>
    <row r="46" spans="2:9" x14ac:dyDescent="0.25">
      <c r="B46" s="6" t="s">
        <v>55</v>
      </c>
      <c r="C46" s="8">
        <v>782889.01</v>
      </c>
      <c r="D46" s="8">
        <v>3109252.4</v>
      </c>
      <c r="E46" s="8">
        <v>905204.43</v>
      </c>
      <c r="F46" s="8">
        <v>95317.32</v>
      </c>
      <c r="G46" s="8">
        <v>1010731.32</v>
      </c>
      <c r="H46" s="8">
        <v>970065.48</v>
      </c>
      <c r="I46" s="8">
        <f t="shared" si="0"/>
        <v>6873459.9600000009</v>
      </c>
    </row>
    <row r="47" spans="2:9" x14ac:dyDescent="0.25">
      <c r="B47" s="6" t="s">
        <v>56</v>
      </c>
      <c r="C47" s="8">
        <v>32928.550000000003</v>
      </c>
      <c r="D47" s="8">
        <v>81049.94</v>
      </c>
      <c r="E47" s="8">
        <v>32877.43</v>
      </c>
      <c r="F47" s="8">
        <v>17572.04</v>
      </c>
      <c r="G47" s="8">
        <v>10731.32</v>
      </c>
      <c r="H47" s="8">
        <v>68994.320000000007</v>
      </c>
    </row>
    <row r="48" spans="2:9" x14ac:dyDescent="0.25">
      <c r="B48" s="6" t="s">
        <v>57</v>
      </c>
      <c r="C48" s="8">
        <v>3246871.01</v>
      </c>
      <c r="D48" s="8">
        <v>5287975.4000000004</v>
      </c>
      <c r="E48" s="8">
        <v>1049859.04</v>
      </c>
      <c r="F48" s="8">
        <v>4127631.04</v>
      </c>
      <c r="G48" s="8">
        <v>4736326.32</v>
      </c>
      <c r="H48" s="8">
        <v>3198974.32</v>
      </c>
    </row>
    <row r="49" spans="1:15" x14ac:dyDescent="0.25">
      <c r="B49" s="6" t="s">
        <v>58</v>
      </c>
      <c r="C49" s="8">
        <v>747336.37</v>
      </c>
      <c r="D49" s="8">
        <v>1922632.4703333301</v>
      </c>
      <c r="E49" s="8">
        <v>456031.94161290303</v>
      </c>
      <c r="F49" s="8">
        <v>731420.41266666702</v>
      </c>
      <c r="G49" s="8">
        <v>840215.09419354796</v>
      </c>
      <c r="H49" s="8">
        <v>1142287.8393548401</v>
      </c>
    </row>
    <row r="52" spans="1:15" ht="25.5" customHeight="1" x14ac:dyDescent="0.25">
      <c r="B52" s="11" t="s">
        <v>59</v>
      </c>
      <c r="C52" s="11" t="s">
        <v>60</v>
      </c>
      <c r="D52" s="11" t="s">
        <v>61</v>
      </c>
      <c r="E52" s="11" t="s">
        <v>62</v>
      </c>
      <c r="F52" s="11" t="s">
        <v>63</v>
      </c>
      <c r="G52" s="11" t="s">
        <v>64</v>
      </c>
      <c r="H52" s="11" t="s">
        <v>65</v>
      </c>
      <c r="I52" s="11" t="s">
        <v>66</v>
      </c>
      <c r="J52" s="11" t="s">
        <v>67</v>
      </c>
      <c r="K52" s="11" t="s">
        <v>68</v>
      </c>
      <c r="L52" s="11" t="s">
        <v>69</v>
      </c>
      <c r="M52" s="11" t="s">
        <v>70</v>
      </c>
      <c r="N52" s="11" t="s">
        <v>71</v>
      </c>
      <c r="O52" s="11" t="s">
        <v>72</v>
      </c>
    </row>
    <row r="53" spans="1:15" ht="25.5" customHeight="1" x14ac:dyDescent="0.25">
      <c r="B53" s="12" t="s">
        <v>73</v>
      </c>
      <c r="C53" s="12" t="s">
        <v>9</v>
      </c>
      <c r="D53" s="13" t="s">
        <v>74</v>
      </c>
      <c r="E53" s="14">
        <v>45870</v>
      </c>
      <c r="F53" s="14">
        <v>46041</v>
      </c>
      <c r="G53" s="12" t="s">
        <v>2</v>
      </c>
      <c r="H53" s="12" t="s">
        <v>75</v>
      </c>
      <c r="I53" s="12"/>
      <c r="J53" s="12"/>
      <c r="K53" s="15"/>
      <c r="L53" s="12"/>
      <c r="M53" s="12" t="s">
        <v>76</v>
      </c>
      <c r="N53" s="16" t="s">
        <v>77</v>
      </c>
      <c r="O53" s="12" t="s">
        <v>78</v>
      </c>
    </row>
    <row r="62" spans="1:15" ht="18" x14ac:dyDescent="0.25">
      <c r="A62" s="1" t="s">
        <v>0</v>
      </c>
    </row>
    <row r="63" spans="1:15" x14ac:dyDescent="0.25">
      <c r="B63" s="2" t="s">
        <v>1</v>
      </c>
      <c r="C63" s="77" t="s">
        <v>863</v>
      </c>
      <c r="D63" s="76"/>
      <c r="E63" s="76"/>
    </row>
    <row r="64" spans="1:15" x14ac:dyDescent="0.25">
      <c r="B64" s="2" t="s">
        <v>3</v>
      </c>
      <c r="C64" s="77" t="s">
        <v>864</v>
      </c>
      <c r="D64" s="76"/>
      <c r="E64" s="76"/>
    </row>
    <row r="65" spans="1:9" x14ac:dyDescent="0.25">
      <c r="B65" s="2" t="s">
        <v>5</v>
      </c>
      <c r="C65" s="77"/>
      <c r="D65" s="76"/>
      <c r="E65" s="76"/>
    </row>
    <row r="66" spans="1:9" x14ac:dyDescent="0.25">
      <c r="B66" s="2" t="s">
        <v>6</v>
      </c>
      <c r="C66" s="77"/>
      <c r="D66" s="76"/>
      <c r="E66" s="76"/>
    </row>
    <row r="67" spans="1:9" x14ac:dyDescent="0.25">
      <c r="B67" s="2" t="s">
        <v>7</v>
      </c>
      <c r="C67" s="77"/>
      <c r="D67" s="76"/>
      <c r="E67" s="76"/>
    </row>
    <row r="68" spans="1:9" x14ac:dyDescent="0.25">
      <c r="B68" s="2" t="s">
        <v>8</v>
      </c>
      <c r="C68" s="77" t="s">
        <v>9</v>
      </c>
      <c r="D68" s="76"/>
      <c r="E68" s="76"/>
    </row>
    <row r="69" spans="1:9" x14ac:dyDescent="0.25">
      <c r="B69" s="2" t="s">
        <v>10</v>
      </c>
      <c r="C69" s="77" t="s">
        <v>865</v>
      </c>
      <c r="D69" s="76"/>
      <c r="E69" s="76"/>
    </row>
    <row r="70" spans="1:9" x14ac:dyDescent="0.25">
      <c r="B70" s="2" t="s">
        <v>12</v>
      </c>
      <c r="C70" s="77" t="s">
        <v>866</v>
      </c>
      <c r="D70" s="76"/>
      <c r="E70" s="76"/>
    </row>
    <row r="72" spans="1:9" ht="18" x14ac:dyDescent="0.25">
      <c r="A72" s="1" t="s">
        <v>14</v>
      </c>
    </row>
    <row r="73" spans="1:9" x14ac:dyDescent="0.25">
      <c r="B73" s="3"/>
      <c r="C73" s="4" t="s">
        <v>15</v>
      </c>
      <c r="D73" s="4" t="s">
        <v>16</v>
      </c>
      <c r="E73" s="4" t="s">
        <v>17</v>
      </c>
      <c r="F73" s="4" t="s">
        <v>18</v>
      </c>
      <c r="G73" s="4" t="s">
        <v>19</v>
      </c>
      <c r="H73" s="4" t="s">
        <v>20</v>
      </c>
      <c r="I73" s="5" t="s">
        <v>21</v>
      </c>
    </row>
    <row r="74" spans="1:9" x14ac:dyDescent="0.25">
      <c r="B74" s="6" t="s">
        <v>22</v>
      </c>
      <c r="C74" s="7">
        <v>21</v>
      </c>
      <c r="D74" s="7">
        <v>21</v>
      </c>
      <c r="E74" s="7">
        <v>11</v>
      </c>
      <c r="F74" s="7">
        <v>25</v>
      </c>
      <c r="G74" s="7">
        <v>14</v>
      </c>
      <c r="H74" s="7">
        <v>11</v>
      </c>
      <c r="I74" s="7">
        <f t="shared" ref="I74:I107" si="5">SUM(B74:H74)</f>
        <v>103</v>
      </c>
    </row>
    <row r="75" spans="1:9" x14ac:dyDescent="0.25">
      <c r="B75" s="6" t="s">
        <v>23</v>
      </c>
      <c r="C75" s="8">
        <v>45756790</v>
      </c>
      <c r="D75" s="8">
        <v>21423074</v>
      </c>
      <c r="E75" s="8">
        <v>8233617.3799999999</v>
      </c>
      <c r="F75" s="8">
        <v>20677540</v>
      </c>
      <c r="G75" s="8">
        <v>12560001</v>
      </c>
      <c r="H75" s="8">
        <v>23325767</v>
      </c>
      <c r="I75" s="8">
        <f t="shared" si="5"/>
        <v>131976789.38</v>
      </c>
    </row>
    <row r="76" spans="1:9" x14ac:dyDescent="0.25">
      <c r="B76" s="6" t="s">
        <v>24</v>
      </c>
      <c r="C76" s="7">
        <v>59</v>
      </c>
      <c r="D76" s="7">
        <v>47</v>
      </c>
      <c r="E76" s="7">
        <v>42</v>
      </c>
      <c r="F76" s="7">
        <v>54</v>
      </c>
      <c r="G76" s="7">
        <v>42</v>
      </c>
      <c r="H76" s="7">
        <v>31</v>
      </c>
      <c r="I76" s="7">
        <f t="shared" si="5"/>
        <v>275</v>
      </c>
    </row>
    <row r="77" spans="1:9" x14ac:dyDescent="0.25">
      <c r="B77" s="6" t="s">
        <v>25</v>
      </c>
      <c r="C77" s="8">
        <v>45835161.380000003</v>
      </c>
      <c r="D77" s="8">
        <v>21063884.34</v>
      </c>
      <c r="E77" s="8">
        <v>6558010.54</v>
      </c>
      <c r="F77" s="8">
        <v>22691695.16</v>
      </c>
      <c r="G77" s="8">
        <v>12571190</v>
      </c>
      <c r="H77" s="8">
        <v>22975174.539999999</v>
      </c>
      <c r="I77" s="8">
        <f t="shared" si="5"/>
        <v>131695115.96000001</v>
      </c>
    </row>
    <row r="78" spans="1:9" x14ac:dyDescent="0.25">
      <c r="B78" s="6" t="s">
        <v>26</v>
      </c>
      <c r="C78" s="7">
        <v>0</v>
      </c>
      <c r="D78" s="7">
        <v>0</v>
      </c>
      <c r="E78" s="7">
        <v>0</v>
      </c>
      <c r="F78" s="7">
        <v>1</v>
      </c>
      <c r="G78" s="7">
        <v>1</v>
      </c>
      <c r="H78" s="7">
        <v>0</v>
      </c>
      <c r="I78" s="7">
        <f t="shared" si="5"/>
        <v>2</v>
      </c>
    </row>
    <row r="79" spans="1:9" x14ac:dyDescent="0.25">
      <c r="B79" s="6" t="s">
        <v>27</v>
      </c>
      <c r="C79" s="8">
        <v>0</v>
      </c>
      <c r="D79" s="8">
        <v>0</v>
      </c>
      <c r="E79" s="8">
        <v>0</v>
      </c>
      <c r="F79" s="8">
        <v>500000</v>
      </c>
      <c r="G79" s="8">
        <v>350000</v>
      </c>
      <c r="H79" s="8">
        <v>0</v>
      </c>
      <c r="I79" s="8">
        <f t="shared" si="5"/>
        <v>850000</v>
      </c>
    </row>
    <row r="80" spans="1:9" x14ac:dyDescent="0.25">
      <c r="B80" s="6" t="s">
        <v>28</v>
      </c>
      <c r="C80" s="7">
        <v>2</v>
      </c>
      <c r="D80" s="7">
        <v>3</v>
      </c>
      <c r="E80" s="7">
        <v>2</v>
      </c>
      <c r="F80" s="7">
        <v>2</v>
      </c>
      <c r="G80" s="7">
        <v>5</v>
      </c>
      <c r="H80" s="7">
        <v>0</v>
      </c>
      <c r="I80" s="7">
        <f t="shared" si="5"/>
        <v>14</v>
      </c>
    </row>
    <row r="81" spans="2:9" x14ac:dyDescent="0.25">
      <c r="B81" s="6" t="s">
        <v>29</v>
      </c>
      <c r="C81" s="8">
        <v>200000</v>
      </c>
      <c r="D81" s="8">
        <v>400000</v>
      </c>
      <c r="E81" s="8">
        <v>250000</v>
      </c>
      <c r="F81" s="8">
        <v>150000</v>
      </c>
      <c r="G81" s="8">
        <v>550000</v>
      </c>
      <c r="H81" s="8">
        <v>0</v>
      </c>
      <c r="I81" s="8">
        <f t="shared" si="5"/>
        <v>1550000</v>
      </c>
    </row>
    <row r="82" spans="2:9" x14ac:dyDescent="0.25">
      <c r="B82" s="6" t="s">
        <v>30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f t="shared" si="5"/>
        <v>0</v>
      </c>
    </row>
    <row r="83" spans="2:9" x14ac:dyDescent="0.25">
      <c r="B83" s="6" t="s">
        <v>31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f t="shared" si="5"/>
        <v>0</v>
      </c>
    </row>
    <row r="84" spans="2:9" x14ac:dyDescent="0.25">
      <c r="B84" s="6" t="s">
        <v>32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f t="shared" si="5"/>
        <v>0</v>
      </c>
    </row>
    <row r="85" spans="2:9" x14ac:dyDescent="0.25">
      <c r="B85" s="6" t="s">
        <v>33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f t="shared" si="5"/>
        <v>0</v>
      </c>
    </row>
    <row r="86" spans="2:9" x14ac:dyDescent="0.25">
      <c r="B86" s="6" t="s">
        <v>34</v>
      </c>
      <c r="C86" s="7">
        <v>2</v>
      </c>
      <c r="D86" s="7">
        <v>0</v>
      </c>
      <c r="E86" s="7">
        <v>0</v>
      </c>
      <c r="F86" s="7">
        <v>1</v>
      </c>
      <c r="G86" s="7">
        <v>2</v>
      </c>
      <c r="H86" s="7">
        <v>0</v>
      </c>
      <c r="I86" s="7">
        <f t="shared" si="5"/>
        <v>5</v>
      </c>
    </row>
    <row r="87" spans="2:9" x14ac:dyDescent="0.25">
      <c r="B87" s="6" t="s">
        <v>35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f t="shared" si="5"/>
        <v>0</v>
      </c>
    </row>
    <row r="88" spans="2:9" x14ac:dyDescent="0.25">
      <c r="B88" s="89" t="s">
        <v>36</v>
      </c>
      <c r="C88" s="7">
        <v>2</v>
      </c>
      <c r="D88" s="7">
        <v>1</v>
      </c>
      <c r="E88" s="7">
        <v>1</v>
      </c>
      <c r="F88" s="7">
        <v>1</v>
      </c>
      <c r="G88" s="7">
        <v>3</v>
      </c>
      <c r="H88" s="7">
        <v>0</v>
      </c>
      <c r="I88" s="7">
        <f t="shared" si="5"/>
        <v>8</v>
      </c>
    </row>
    <row r="89" spans="2:9" x14ac:dyDescent="0.25">
      <c r="B89" s="89" t="s">
        <v>37</v>
      </c>
      <c r="C89" s="8">
        <v>40300000</v>
      </c>
      <c r="D89" s="8">
        <v>40300000</v>
      </c>
      <c r="E89" s="8">
        <v>40300000</v>
      </c>
      <c r="F89" s="8">
        <v>40300000</v>
      </c>
      <c r="G89" s="8">
        <v>40300000</v>
      </c>
      <c r="H89" s="8">
        <v>40300000</v>
      </c>
      <c r="I89" s="8">
        <f t="shared" si="5"/>
        <v>241800000</v>
      </c>
    </row>
    <row r="90" spans="2:9" x14ac:dyDescent="0.25">
      <c r="B90" s="89" t="s">
        <v>38</v>
      </c>
      <c r="C90" s="8">
        <v>40300000</v>
      </c>
      <c r="D90" s="8">
        <v>40300000</v>
      </c>
      <c r="E90" s="8">
        <v>40300000</v>
      </c>
      <c r="F90" s="8">
        <v>40300000</v>
      </c>
      <c r="G90" s="8">
        <v>40300000</v>
      </c>
      <c r="H90" s="8">
        <v>40300000</v>
      </c>
      <c r="I90" s="8">
        <f t="shared" si="5"/>
        <v>241800000</v>
      </c>
    </row>
    <row r="91" spans="2:9" x14ac:dyDescent="0.25">
      <c r="B91" s="89" t="s">
        <v>39</v>
      </c>
      <c r="C91" s="8">
        <v>-38748652.119999997</v>
      </c>
      <c r="D91" s="8">
        <v>-39819537.509999998</v>
      </c>
      <c r="E91" s="8">
        <v>-39966397.799999997</v>
      </c>
      <c r="F91" s="8">
        <v>-39959882.920000002</v>
      </c>
      <c r="G91" s="8">
        <v>-39994819.579999998</v>
      </c>
      <c r="H91" s="8">
        <v>-34842540.119999997</v>
      </c>
      <c r="I91" s="8">
        <f t="shared" si="5"/>
        <v>-233331830.05000001</v>
      </c>
    </row>
    <row r="92" spans="2:9" x14ac:dyDescent="0.25">
      <c r="B92" s="89" t="s">
        <v>40</v>
      </c>
      <c r="C92" s="8">
        <v>-39961676.619999997</v>
      </c>
      <c r="D92" s="8">
        <v>-39985756.509999998</v>
      </c>
      <c r="E92" s="8">
        <v>-39990122.299999997</v>
      </c>
      <c r="F92" s="8">
        <v>-39988237</v>
      </c>
      <c r="G92" s="8">
        <v>-39889392.579999998</v>
      </c>
      <c r="H92" s="8">
        <v>-39975463.119999997</v>
      </c>
      <c r="I92" s="8">
        <f t="shared" si="5"/>
        <v>-239790648.13</v>
      </c>
    </row>
    <row r="93" spans="2:9" x14ac:dyDescent="0.25">
      <c r="B93" s="89" t="s">
        <v>41</v>
      </c>
      <c r="C93" s="8">
        <v>-40335507.920000002</v>
      </c>
      <c r="D93" s="8">
        <v>-39976318.259999998</v>
      </c>
      <c r="E93" s="8">
        <v>-38300711.420000002</v>
      </c>
      <c r="F93" s="8">
        <v>-40314866.579999998</v>
      </c>
      <c r="G93" s="8">
        <v>-40326055.579999998</v>
      </c>
      <c r="H93" s="8">
        <v>-39975463.119999997</v>
      </c>
      <c r="I93" s="8">
        <f t="shared" si="5"/>
        <v>-239228922.88</v>
      </c>
    </row>
    <row r="94" spans="2:9" x14ac:dyDescent="0.25">
      <c r="B94" s="89" t="s">
        <v>42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f t="shared" si="5"/>
        <v>0</v>
      </c>
    </row>
    <row r="95" spans="2:9" x14ac:dyDescent="0.25">
      <c r="B95" s="89" t="s">
        <v>43</v>
      </c>
      <c r="C95" s="10">
        <f t="shared" ref="C95:H95" si="6">IF(C84 &gt; 0, C86 / C84, 0)</f>
        <v>0</v>
      </c>
      <c r="D95" s="10">
        <f t="shared" si="6"/>
        <v>0</v>
      </c>
      <c r="E95" s="10">
        <f t="shared" si="6"/>
        <v>0</v>
      </c>
      <c r="F95" s="10">
        <f t="shared" si="6"/>
        <v>0</v>
      </c>
      <c r="G95" s="10">
        <f t="shared" si="6"/>
        <v>0</v>
      </c>
      <c r="H95" s="10">
        <f t="shared" si="6"/>
        <v>0</v>
      </c>
      <c r="I95" s="10">
        <f t="shared" si="5"/>
        <v>0</v>
      </c>
    </row>
    <row r="96" spans="2:9" x14ac:dyDescent="0.25">
      <c r="B96" s="89" t="s">
        <v>44</v>
      </c>
      <c r="C96" s="10">
        <f t="shared" ref="C96:H96" si="7">IF(C82 &gt; 0, C87 / C82, 0)</f>
        <v>0</v>
      </c>
      <c r="D96" s="10">
        <f t="shared" si="7"/>
        <v>0</v>
      </c>
      <c r="E96" s="10">
        <f t="shared" si="7"/>
        <v>0</v>
      </c>
      <c r="F96" s="10">
        <f t="shared" si="7"/>
        <v>0</v>
      </c>
      <c r="G96" s="10">
        <f t="shared" si="7"/>
        <v>0</v>
      </c>
      <c r="H96" s="10">
        <f t="shared" si="7"/>
        <v>0</v>
      </c>
      <c r="I96" s="10">
        <f t="shared" si="5"/>
        <v>0</v>
      </c>
    </row>
    <row r="97" spans="2:9" x14ac:dyDescent="0.25">
      <c r="B97" s="89" t="s">
        <v>45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f t="shared" si="5"/>
        <v>0</v>
      </c>
    </row>
    <row r="98" spans="2:9" x14ac:dyDescent="0.25">
      <c r="B98" s="89" t="s">
        <v>46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f t="shared" si="5"/>
        <v>0</v>
      </c>
    </row>
    <row r="99" spans="2:9" x14ac:dyDescent="0.25">
      <c r="B99" s="89" t="s">
        <v>47</v>
      </c>
      <c r="C99" s="8">
        <f t="shared" ref="C99:H99" si="8">IF(0 &gt; 0, C98 / 0, 0)</f>
        <v>0</v>
      </c>
      <c r="D99" s="8">
        <f t="shared" si="8"/>
        <v>0</v>
      </c>
      <c r="E99" s="8">
        <f t="shared" si="8"/>
        <v>0</v>
      </c>
      <c r="F99" s="8">
        <f t="shared" si="8"/>
        <v>0</v>
      </c>
      <c r="G99" s="8">
        <f t="shared" si="8"/>
        <v>0</v>
      </c>
      <c r="H99" s="8">
        <f t="shared" si="8"/>
        <v>0</v>
      </c>
      <c r="I99" s="8">
        <f t="shared" si="5"/>
        <v>0</v>
      </c>
    </row>
    <row r="100" spans="2:9" x14ac:dyDescent="0.25">
      <c r="B100" s="89" t="s">
        <v>48</v>
      </c>
      <c r="C100" s="10">
        <f t="shared" ref="C100:H100" si="9">IF(0 &gt; 0, C99 / C89, 0)</f>
        <v>0</v>
      </c>
      <c r="D100" s="10">
        <f t="shared" si="9"/>
        <v>0</v>
      </c>
      <c r="E100" s="10">
        <f t="shared" si="9"/>
        <v>0</v>
      </c>
      <c r="F100" s="10">
        <f t="shared" si="9"/>
        <v>0</v>
      </c>
      <c r="G100" s="10">
        <f t="shared" si="9"/>
        <v>0</v>
      </c>
      <c r="H100" s="10">
        <f t="shared" si="9"/>
        <v>0</v>
      </c>
      <c r="I100" s="10">
        <f t="shared" si="5"/>
        <v>0</v>
      </c>
    </row>
    <row r="101" spans="2:9" x14ac:dyDescent="0.25">
      <c r="B101" s="89" t="s">
        <v>49</v>
      </c>
      <c r="C101" s="7">
        <v>2</v>
      </c>
      <c r="D101" s="7">
        <v>2</v>
      </c>
      <c r="E101" s="7">
        <v>3</v>
      </c>
      <c r="F101" s="7">
        <v>4</v>
      </c>
      <c r="G101" s="7">
        <v>3</v>
      </c>
      <c r="H101" s="7">
        <v>0</v>
      </c>
      <c r="I101" s="7">
        <f t="shared" si="5"/>
        <v>14</v>
      </c>
    </row>
    <row r="102" spans="2:9" x14ac:dyDescent="0.25">
      <c r="B102" s="89" t="s">
        <v>50</v>
      </c>
      <c r="C102" s="7">
        <v>2</v>
      </c>
      <c r="D102" s="7">
        <v>0</v>
      </c>
      <c r="E102" s="7">
        <v>1</v>
      </c>
      <c r="F102" s="7">
        <v>1</v>
      </c>
      <c r="G102" s="7">
        <v>2</v>
      </c>
      <c r="H102" s="7">
        <v>0</v>
      </c>
      <c r="I102" s="7">
        <f t="shared" si="5"/>
        <v>6</v>
      </c>
    </row>
    <row r="103" spans="2:9" x14ac:dyDescent="0.25">
      <c r="B103" s="89" t="s">
        <v>51</v>
      </c>
      <c r="C103" s="7">
        <v>0</v>
      </c>
      <c r="D103" s="7">
        <v>0</v>
      </c>
      <c r="E103" s="7">
        <v>2</v>
      </c>
      <c r="F103" s="7">
        <v>0</v>
      </c>
      <c r="G103" s="7">
        <v>0</v>
      </c>
      <c r="H103" s="7">
        <v>0</v>
      </c>
      <c r="I103" s="7">
        <f t="shared" si="5"/>
        <v>2</v>
      </c>
    </row>
    <row r="104" spans="2:9" ht="25.5" x14ac:dyDescent="0.25">
      <c r="B104" s="89" t="s">
        <v>52</v>
      </c>
      <c r="C104" s="8">
        <v>0</v>
      </c>
      <c r="D104" s="8">
        <v>0</v>
      </c>
      <c r="E104" s="8">
        <v>6.1380000000000007E-4</v>
      </c>
      <c r="F104" s="8">
        <v>0</v>
      </c>
      <c r="G104" s="8">
        <v>0</v>
      </c>
      <c r="H104" s="8">
        <v>0</v>
      </c>
      <c r="I104" s="8">
        <f t="shared" si="5"/>
        <v>6.1380000000000007E-4</v>
      </c>
    </row>
    <row r="105" spans="2:9" x14ac:dyDescent="0.25">
      <c r="B105" s="6" t="s">
        <v>53</v>
      </c>
      <c r="C105" s="8">
        <v>-39923452.119999997</v>
      </c>
      <c r="D105" s="8">
        <v>-39799364.920000002</v>
      </c>
      <c r="E105" s="8">
        <v>-39738318.259999998</v>
      </c>
      <c r="F105" s="8">
        <v>-39967283.920000002</v>
      </c>
      <c r="G105" s="8">
        <v>-39262002.579999998</v>
      </c>
      <c r="H105" s="8">
        <v>-39976055.579999998</v>
      </c>
      <c r="I105" s="8">
        <f t="shared" si="5"/>
        <v>-238666477.37999994</v>
      </c>
    </row>
    <row r="106" spans="2:9" x14ac:dyDescent="0.25">
      <c r="B106" s="6" t="s">
        <v>54</v>
      </c>
      <c r="C106" s="8">
        <v>-38751676.619999997</v>
      </c>
      <c r="D106" s="8">
        <v>-39965620.509999998</v>
      </c>
      <c r="E106" s="8">
        <v>-39979818.299999997</v>
      </c>
      <c r="F106" s="8">
        <v>-38095683</v>
      </c>
      <c r="G106" s="8">
        <v>-39782267.579999998</v>
      </c>
      <c r="H106" s="8">
        <v>-39970463.119999997</v>
      </c>
      <c r="I106" s="8">
        <f t="shared" si="5"/>
        <v>-236545529.13</v>
      </c>
    </row>
    <row r="107" spans="2:9" x14ac:dyDescent="0.25">
      <c r="B107" s="6" t="s">
        <v>55</v>
      </c>
      <c r="C107" s="8">
        <v>-39967816.920000002</v>
      </c>
      <c r="D107" s="8">
        <v>-39760204.509999998</v>
      </c>
      <c r="E107" s="8">
        <v>-39714352.920000002</v>
      </c>
      <c r="F107" s="8">
        <v>-39952594.539999999</v>
      </c>
      <c r="G107" s="8">
        <v>-39942192.579999998</v>
      </c>
      <c r="H107" s="8">
        <v>-39975463.119999997</v>
      </c>
      <c r="I107" s="8">
        <f t="shared" si="5"/>
        <v>-239312624.59000003</v>
      </c>
    </row>
    <row r="108" spans="2:9" x14ac:dyDescent="0.25">
      <c r="B108" s="6" t="s">
        <v>56</v>
      </c>
      <c r="C108" s="8">
        <v>-40335507.920000002</v>
      </c>
      <c r="D108" s="8">
        <v>-40335507.920000002</v>
      </c>
      <c r="E108" s="8">
        <v>-39990122.299999997</v>
      </c>
      <c r="F108" s="8">
        <v>-40314866.579999998</v>
      </c>
      <c r="G108" s="8">
        <v>-40326055.579999998</v>
      </c>
      <c r="H108" s="8">
        <v>-40326055.579999998</v>
      </c>
    </row>
    <row r="109" spans="2:9" x14ac:dyDescent="0.25">
      <c r="B109" s="6" t="s">
        <v>57</v>
      </c>
      <c r="C109" s="8">
        <v>-29860224.620000001</v>
      </c>
      <c r="D109" s="8">
        <v>-38660204.509999998</v>
      </c>
      <c r="E109" s="8">
        <v>-38121034.299999997</v>
      </c>
      <c r="F109" s="8">
        <v>-38015683</v>
      </c>
      <c r="G109" s="8">
        <v>-37328366.579999998</v>
      </c>
      <c r="H109" s="8">
        <v>-34841716.579999998</v>
      </c>
    </row>
    <row r="110" spans="2:9" x14ac:dyDescent="0.25">
      <c r="B110" s="6" t="s">
        <v>58</v>
      </c>
      <c r="C110" s="8">
        <v>-38913127.596774198</v>
      </c>
      <c r="D110" s="8">
        <v>-39701709.7246667</v>
      </c>
      <c r="E110" s="8">
        <v>-39735929.9496774</v>
      </c>
      <c r="F110" s="8">
        <v>-39705344.910666697</v>
      </c>
      <c r="G110" s="8">
        <v>-39815333.096129</v>
      </c>
      <c r="H110" s="8">
        <v>-39029939.350322597</v>
      </c>
    </row>
    <row r="113" spans="2:15" ht="51" x14ac:dyDescent="0.25">
      <c r="B113" s="11" t="s">
        <v>59</v>
      </c>
      <c r="C113" s="11" t="s">
        <v>60</v>
      </c>
      <c r="D113" s="11" t="s">
        <v>61</v>
      </c>
      <c r="E113" s="11" t="s">
        <v>62</v>
      </c>
      <c r="F113" s="11" t="s">
        <v>63</v>
      </c>
      <c r="G113" s="11" t="s">
        <v>64</v>
      </c>
      <c r="H113" s="11" t="s">
        <v>65</v>
      </c>
      <c r="I113" s="11" t="s">
        <v>66</v>
      </c>
      <c r="J113" s="11" t="s">
        <v>67</v>
      </c>
      <c r="K113" s="11" t="s">
        <v>68</v>
      </c>
      <c r="L113" s="11" t="s">
        <v>69</v>
      </c>
      <c r="M113" s="11" t="s">
        <v>70</v>
      </c>
      <c r="N113" s="11" t="s">
        <v>71</v>
      </c>
      <c r="O113" s="11" t="s">
        <v>72</v>
      </c>
    </row>
    <row r="114" spans="2:15" ht="38.25" x14ac:dyDescent="0.25">
      <c r="B114" s="90" t="s">
        <v>867</v>
      </c>
      <c r="C114" s="90" t="s">
        <v>9</v>
      </c>
      <c r="D114" s="91" t="s">
        <v>865</v>
      </c>
      <c r="E114" s="92">
        <v>45870</v>
      </c>
      <c r="F114" s="92">
        <v>46041</v>
      </c>
      <c r="G114" s="90" t="s">
        <v>863</v>
      </c>
      <c r="H114" s="90" t="s">
        <v>75</v>
      </c>
      <c r="I114" s="90"/>
      <c r="J114" s="90"/>
      <c r="K114" s="15"/>
      <c r="L114" s="90"/>
      <c r="M114" s="90" t="s">
        <v>76</v>
      </c>
      <c r="N114" s="16" t="s">
        <v>77</v>
      </c>
      <c r="O114" s="90" t="s">
        <v>868</v>
      </c>
    </row>
  </sheetData>
  <mergeCells count="16">
    <mergeCell ref="C68:E68"/>
    <mergeCell ref="C69:E69"/>
    <mergeCell ref="C70:E70"/>
    <mergeCell ref="C63:E63"/>
    <mergeCell ref="C64:E64"/>
    <mergeCell ref="C65:E65"/>
    <mergeCell ref="C66:E66"/>
    <mergeCell ref="C67:E67"/>
    <mergeCell ref="C2:E2"/>
    <mergeCell ref="C5:E5"/>
    <mergeCell ref="C8:E8"/>
    <mergeCell ref="C9:E9"/>
    <mergeCell ref="C4:E4"/>
    <mergeCell ref="C3:E3"/>
    <mergeCell ref="C7:E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K30" sqref="K30"/>
    </sheetView>
  </sheetViews>
  <sheetFormatPr defaultRowHeight="15" x14ac:dyDescent="0.25"/>
  <cols>
    <col min="1" max="1" width="10.42578125" bestFit="1" customWidth="1"/>
    <col min="2" max="2" width="10.140625" customWidth="1"/>
    <col min="4" max="4" width="13.5703125" customWidth="1"/>
    <col min="5" max="5" width="16.5703125" bestFit="1" customWidth="1"/>
  </cols>
  <sheetData>
    <row r="1" spans="1:7" x14ac:dyDescent="0.25">
      <c r="C1" s="78" t="s">
        <v>839</v>
      </c>
      <c r="D1" s="78"/>
      <c r="E1" s="78"/>
    </row>
    <row r="2" spans="1:7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86</v>
      </c>
      <c r="G2" t="s">
        <v>87</v>
      </c>
    </row>
    <row r="3" spans="1:7" x14ac:dyDescent="0.25">
      <c r="A3" s="29">
        <v>45899</v>
      </c>
      <c r="B3" s="30" t="s">
        <v>89</v>
      </c>
      <c r="C3" s="30" t="s">
        <v>809</v>
      </c>
      <c r="D3" s="30"/>
      <c r="E3" s="30" t="s">
        <v>794</v>
      </c>
      <c r="F3" s="30"/>
      <c r="G3" s="30">
        <v>1200000</v>
      </c>
    </row>
    <row r="4" spans="1:7" x14ac:dyDescent="0.25">
      <c r="A4" s="29">
        <v>45917</v>
      </c>
      <c r="B4" s="30" t="s">
        <v>224</v>
      </c>
      <c r="C4" s="30" t="s">
        <v>809</v>
      </c>
      <c r="D4" s="30"/>
      <c r="E4" s="30" t="s">
        <v>794</v>
      </c>
      <c r="F4" s="30"/>
      <c r="G4" s="30">
        <v>780000</v>
      </c>
    </row>
    <row r="5" spans="1:7" x14ac:dyDescent="0.25">
      <c r="A5" s="29">
        <v>45877</v>
      </c>
      <c r="B5" s="30" t="s">
        <v>89</v>
      </c>
      <c r="C5" s="30" t="s">
        <v>809</v>
      </c>
      <c r="D5" s="30"/>
      <c r="E5" s="30" t="s">
        <v>810</v>
      </c>
      <c r="F5" s="30"/>
      <c r="G5" s="30">
        <v>1000000</v>
      </c>
    </row>
    <row r="6" spans="1:7" x14ac:dyDescent="0.25">
      <c r="A6" s="29">
        <v>45895</v>
      </c>
      <c r="B6" s="30" t="s">
        <v>89</v>
      </c>
      <c r="C6" s="30" t="s">
        <v>809</v>
      </c>
      <c r="D6" s="30"/>
      <c r="E6" s="30" t="s">
        <v>810</v>
      </c>
      <c r="F6" s="30"/>
      <c r="G6" s="30">
        <v>750000</v>
      </c>
    </row>
    <row r="7" spans="1:7" x14ac:dyDescent="0.25">
      <c r="A7" s="29">
        <v>45899</v>
      </c>
      <c r="B7" s="30" t="s">
        <v>89</v>
      </c>
      <c r="C7" s="30" t="s">
        <v>809</v>
      </c>
      <c r="D7" s="30"/>
      <c r="E7" s="30" t="s">
        <v>810</v>
      </c>
      <c r="F7" s="30"/>
      <c r="G7" s="30">
        <v>800000</v>
      </c>
    </row>
    <row r="8" spans="1:7" x14ac:dyDescent="0.25">
      <c r="A8" s="29">
        <v>46003</v>
      </c>
      <c r="B8" s="30" t="s">
        <v>581</v>
      </c>
      <c r="C8" s="30" t="s">
        <v>809</v>
      </c>
      <c r="D8" s="30"/>
      <c r="E8" s="30" t="s">
        <v>810</v>
      </c>
      <c r="F8" s="30"/>
      <c r="G8" s="30">
        <v>400000</v>
      </c>
    </row>
    <row r="9" spans="1:7" x14ac:dyDescent="0.25">
      <c r="A9" s="29">
        <v>45874</v>
      </c>
      <c r="B9" s="30" t="s">
        <v>89</v>
      </c>
      <c r="C9" s="30" t="s">
        <v>809</v>
      </c>
      <c r="D9" s="30"/>
      <c r="E9" s="30" t="s">
        <v>808</v>
      </c>
      <c r="F9" s="30"/>
      <c r="G9" s="30">
        <v>1</v>
      </c>
    </row>
    <row r="10" spans="1:7" x14ac:dyDescent="0.25">
      <c r="A10" s="29">
        <v>45874</v>
      </c>
      <c r="B10" s="30" t="s">
        <v>89</v>
      </c>
      <c r="C10" s="30" t="s">
        <v>809</v>
      </c>
      <c r="D10" s="30"/>
      <c r="E10" s="30" t="s">
        <v>808</v>
      </c>
      <c r="F10" s="30"/>
      <c r="G10" s="30">
        <v>2500000</v>
      </c>
    </row>
    <row r="11" spans="1:7" x14ac:dyDescent="0.25">
      <c r="A11" s="29">
        <v>45906</v>
      </c>
      <c r="B11" s="30" t="s">
        <v>224</v>
      </c>
      <c r="C11" s="30" t="s">
        <v>809</v>
      </c>
      <c r="D11" s="30"/>
      <c r="E11" s="30" t="s">
        <v>808</v>
      </c>
      <c r="F11" s="30"/>
      <c r="G11" s="30">
        <v>1400000</v>
      </c>
    </row>
    <row r="12" spans="1:7" x14ac:dyDescent="0.25">
      <c r="A12" s="29">
        <v>45908</v>
      </c>
      <c r="B12" s="30" t="s">
        <v>224</v>
      </c>
      <c r="C12" s="30" t="s">
        <v>809</v>
      </c>
      <c r="D12" s="30"/>
      <c r="E12" s="30" t="s">
        <v>808</v>
      </c>
      <c r="F12" s="30"/>
      <c r="G12" s="30">
        <v>1000000</v>
      </c>
    </row>
    <row r="13" spans="1:7" x14ac:dyDescent="0.25">
      <c r="A13" s="29">
        <v>45909</v>
      </c>
      <c r="B13" s="30" t="s">
        <v>224</v>
      </c>
      <c r="C13" s="30" t="s">
        <v>809</v>
      </c>
      <c r="D13" s="30"/>
      <c r="E13" s="30" t="s">
        <v>808</v>
      </c>
      <c r="F13" s="30"/>
      <c r="G13" s="30">
        <v>1100000</v>
      </c>
    </row>
    <row r="14" spans="1:7" x14ac:dyDescent="0.25">
      <c r="A14" s="29">
        <v>45909</v>
      </c>
      <c r="B14" s="30" t="s">
        <v>224</v>
      </c>
      <c r="C14" s="30" t="s">
        <v>809</v>
      </c>
      <c r="D14" s="30"/>
      <c r="E14" s="30" t="s">
        <v>808</v>
      </c>
      <c r="F14" s="30"/>
      <c r="G14" s="30">
        <v>300000</v>
      </c>
    </row>
    <row r="15" spans="1:7" x14ac:dyDescent="0.25">
      <c r="A15" s="29">
        <v>45899</v>
      </c>
      <c r="B15" s="30" t="s">
        <v>89</v>
      </c>
      <c r="C15" s="30" t="s">
        <v>809</v>
      </c>
      <c r="D15" s="30"/>
      <c r="E15" s="30" t="s">
        <v>804</v>
      </c>
      <c r="F15" s="30"/>
      <c r="G15" s="30">
        <v>50000</v>
      </c>
    </row>
    <row r="16" spans="1:7" x14ac:dyDescent="0.25">
      <c r="A16" s="29">
        <v>45901</v>
      </c>
      <c r="B16" s="30" t="s">
        <v>224</v>
      </c>
      <c r="C16" s="30" t="s">
        <v>809</v>
      </c>
      <c r="D16" s="30"/>
      <c r="E16" s="30" t="s">
        <v>804</v>
      </c>
      <c r="F16" s="30"/>
      <c r="G16" s="30">
        <v>50000</v>
      </c>
    </row>
    <row r="17" spans="1:7" x14ac:dyDescent="0.25">
      <c r="A17" s="29">
        <v>45901</v>
      </c>
      <c r="B17" s="30" t="s">
        <v>224</v>
      </c>
      <c r="C17" s="30" t="s">
        <v>809</v>
      </c>
      <c r="D17" s="30"/>
      <c r="E17" s="30" t="s">
        <v>804</v>
      </c>
      <c r="F17" s="30"/>
      <c r="G17" s="30">
        <v>1100000</v>
      </c>
    </row>
    <row r="18" spans="1:7" x14ac:dyDescent="0.25">
      <c r="A18" s="29">
        <v>45915</v>
      </c>
      <c r="B18" s="30" t="s">
        <v>224</v>
      </c>
      <c r="C18" s="30" t="s">
        <v>809</v>
      </c>
      <c r="D18" s="30"/>
      <c r="E18" s="30" t="s">
        <v>804</v>
      </c>
      <c r="F18" s="30"/>
      <c r="G18" s="30">
        <v>200000</v>
      </c>
    </row>
    <row r="19" spans="1:7" x14ac:dyDescent="0.25">
      <c r="A19" s="29">
        <v>45916</v>
      </c>
      <c r="B19" s="30" t="s">
        <v>224</v>
      </c>
      <c r="C19" s="30" t="s">
        <v>809</v>
      </c>
      <c r="D19" s="30"/>
      <c r="E19" s="30" t="s">
        <v>804</v>
      </c>
      <c r="F19" s="30"/>
      <c r="G19" s="30">
        <v>200000</v>
      </c>
    </row>
    <row r="20" spans="1:7" x14ac:dyDescent="0.25">
      <c r="A20" s="29">
        <v>45917</v>
      </c>
      <c r="B20" s="30" t="s">
        <v>224</v>
      </c>
      <c r="C20" s="30" t="s">
        <v>809</v>
      </c>
      <c r="D20" s="30"/>
      <c r="E20" s="30" t="s">
        <v>804</v>
      </c>
      <c r="F20" s="30"/>
      <c r="G20" s="30">
        <v>200000</v>
      </c>
    </row>
    <row r="21" spans="1:7" x14ac:dyDescent="0.25">
      <c r="A21" s="29">
        <v>45921</v>
      </c>
      <c r="B21" s="30" t="s">
        <v>224</v>
      </c>
      <c r="C21" s="30" t="s">
        <v>809</v>
      </c>
      <c r="D21" s="30"/>
      <c r="E21" s="30" t="s">
        <v>804</v>
      </c>
      <c r="F21" s="30"/>
      <c r="G21" s="30">
        <v>90000</v>
      </c>
    </row>
    <row r="22" spans="1:7" x14ac:dyDescent="0.25">
      <c r="A22" s="29">
        <v>45875</v>
      </c>
      <c r="B22" s="30" t="s">
        <v>89</v>
      </c>
      <c r="C22" s="30" t="s">
        <v>809</v>
      </c>
      <c r="D22" s="30"/>
      <c r="E22" s="30" t="s">
        <v>805</v>
      </c>
      <c r="F22" s="30"/>
      <c r="G22" s="30">
        <v>1000000</v>
      </c>
    </row>
    <row r="23" spans="1:7" x14ac:dyDescent="0.25">
      <c r="A23" s="29">
        <v>45895</v>
      </c>
      <c r="B23" s="30" t="s">
        <v>89</v>
      </c>
      <c r="C23" s="30" t="s">
        <v>809</v>
      </c>
      <c r="D23" s="30"/>
      <c r="E23" s="30" t="s">
        <v>805</v>
      </c>
      <c r="F23" s="30"/>
      <c r="G23" s="30">
        <v>500002</v>
      </c>
    </row>
    <row r="24" spans="1:7" x14ac:dyDescent="0.25">
      <c r="A24" s="29">
        <v>45895</v>
      </c>
      <c r="B24" s="30" t="s">
        <v>89</v>
      </c>
      <c r="C24" s="30" t="s">
        <v>809</v>
      </c>
      <c r="D24" s="30"/>
      <c r="E24" s="30" t="s">
        <v>805</v>
      </c>
      <c r="F24" s="30"/>
      <c r="G24" s="30">
        <v>500000</v>
      </c>
    </row>
    <row r="25" spans="1:7" x14ac:dyDescent="0.25">
      <c r="A25" s="29">
        <v>45899</v>
      </c>
      <c r="B25" s="30" t="s">
        <v>89</v>
      </c>
      <c r="C25" s="30" t="s">
        <v>809</v>
      </c>
      <c r="D25" s="30"/>
      <c r="E25" s="30" t="s">
        <v>805</v>
      </c>
      <c r="F25" s="30"/>
      <c r="G25" s="30">
        <v>900000</v>
      </c>
    </row>
    <row r="26" spans="1:7" x14ac:dyDescent="0.25">
      <c r="A26" s="29">
        <v>45901</v>
      </c>
      <c r="B26" s="30" t="s">
        <v>224</v>
      </c>
      <c r="C26" s="30" t="s">
        <v>809</v>
      </c>
      <c r="D26" s="30"/>
      <c r="E26" s="30" t="s">
        <v>805</v>
      </c>
      <c r="F26" s="30"/>
      <c r="G26" s="30">
        <v>300000</v>
      </c>
    </row>
    <row r="27" spans="1:7" x14ac:dyDescent="0.25">
      <c r="A27" s="29">
        <v>45875</v>
      </c>
      <c r="B27" s="30" t="s">
        <v>89</v>
      </c>
      <c r="C27" s="30" t="s">
        <v>809</v>
      </c>
      <c r="D27" s="30"/>
      <c r="E27" s="30" t="s">
        <v>806</v>
      </c>
      <c r="F27" s="30"/>
      <c r="G27" s="30">
        <v>1000000</v>
      </c>
    </row>
    <row r="28" spans="1:7" x14ac:dyDescent="0.25">
      <c r="A28" s="29">
        <v>45895</v>
      </c>
      <c r="B28" s="30" t="s">
        <v>89</v>
      </c>
      <c r="C28" s="30" t="s">
        <v>809</v>
      </c>
      <c r="D28" s="30"/>
      <c r="E28" s="30" t="s">
        <v>806</v>
      </c>
      <c r="F28" s="30"/>
      <c r="G28" s="30">
        <v>500000</v>
      </c>
    </row>
  </sheetData>
  <mergeCells count="1">
    <mergeCell ref="C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N23" sqref="N23"/>
    </sheetView>
  </sheetViews>
  <sheetFormatPr defaultRowHeight="15" x14ac:dyDescent="0.25"/>
  <cols>
    <col min="1" max="1" width="10.42578125" bestFit="1" customWidth="1"/>
    <col min="2" max="2" width="10.140625" customWidth="1"/>
    <col min="4" max="4" width="13.5703125" customWidth="1"/>
    <col min="5" max="5" width="10.85546875" customWidth="1"/>
  </cols>
  <sheetData>
    <row r="1" spans="1:7" x14ac:dyDescent="0.25">
      <c r="C1" s="78" t="s">
        <v>839</v>
      </c>
      <c r="D1" s="78"/>
      <c r="E1" s="78"/>
    </row>
    <row r="2" spans="1:7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86</v>
      </c>
      <c r="G2" t="s">
        <v>87</v>
      </c>
    </row>
    <row r="3" spans="1:7" x14ac:dyDescent="0.25">
      <c r="A3" s="73">
        <v>46035</v>
      </c>
      <c r="B3" s="74" t="s">
        <v>815</v>
      </c>
      <c r="C3" s="74" t="s">
        <v>788</v>
      </c>
      <c r="D3" s="74"/>
      <c r="E3" s="74" t="s">
        <v>761</v>
      </c>
      <c r="F3" s="74">
        <v>1010500</v>
      </c>
      <c r="G3" s="74"/>
    </row>
    <row r="4" spans="1:7" x14ac:dyDescent="0.25">
      <c r="A4" s="29">
        <v>46005</v>
      </c>
      <c r="B4" s="30" t="s">
        <v>581</v>
      </c>
      <c r="C4" s="30" t="s">
        <v>788</v>
      </c>
      <c r="D4" s="30"/>
      <c r="E4" s="30" t="s">
        <v>862</v>
      </c>
      <c r="F4" s="30"/>
      <c r="G4" s="30">
        <v>3421590</v>
      </c>
    </row>
    <row r="5" spans="1:7" x14ac:dyDescent="0.25">
      <c r="A5" s="34">
        <v>46023</v>
      </c>
      <c r="B5" s="35" t="s">
        <v>815</v>
      </c>
      <c r="C5" s="35" t="s">
        <v>788</v>
      </c>
      <c r="D5" s="35"/>
      <c r="E5" s="35" t="s">
        <v>862</v>
      </c>
      <c r="F5" s="35"/>
      <c r="G5" s="35">
        <v>82443</v>
      </c>
    </row>
    <row r="16" spans="1:7" ht="15.75" thickBot="1" x14ac:dyDescent="0.3"/>
    <row r="17" spans="1:7" ht="15.75" thickBot="1" x14ac:dyDescent="0.3">
      <c r="C17" s="93" t="s">
        <v>869</v>
      </c>
      <c r="D17" s="94"/>
      <c r="E17" s="95"/>
    </row>
    <row r="18" spans="1:7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86</v>
      </c>
      <c r="G18" t="s">
        <v>87</v>
      </c>
    </row>
    <row r="19" spans="1:7" x14ac:dyDescent="0.25">
      <c r="A19" s="29">
        <v>45870</v>
      </c>
      <c r="B19" s="30" t="s">
        <v>89</v>
      </c>
      <c r="C19" s="30" t="s">
        <v>788</v>
      </c>
      <c r="D19" s="30"/>
      <c r="E19" s="30" t="s">
        <v>870</v>
      </c>
      <c r="F19" s="30"/>
      <c r="G19" s="30">
        <v>1910980</v>
      </c>
    </row>
    <row r="20" spans="1:7" x14ac:dyDescent="0.25">
      <c r="A20" s="29">
        <v>45870</v>
      </c>
      <c r="B20" s="30" t="s">
        <v>89</v>
      </c>
      <c r="C20" s="30" t="s">
        <v>788</v>
      </c>
      <c r="D20" s="30"/>
      <c r="E20" s="30" t="s">
        <v>870</v>
      </c>
      <c r="F20" s="30">
        <v>30047.5</v>
      </c>
      <c r="G20" s="30"/>
    </row>
    <row r="21" spans="1:7" x14ac:dyDescent="0.25">
      <c r="A21" s="29">
        <v>45883</v>
      </c>
      <c r="B21" s="30" t="s">
        <v>89</v>
      </c>
      <c r="C21" s="30" t="s">
        <v>788</v>
      </c>
      <c r="D21" s="30"/>
      <c r="E21" s="30" t="s">
        <v>870</v>
      </c>
      <c r="F21" s="30"/>
      <c r="G21" s="30">
        <v>1121543</v>
      </c>
    </row>
    <row r="22" spans="1:7" x14ac:dyDescent="0.25">
      <c r="A22" s="29">
        <v>45883</v>
      </c>
      <c r="B22" s="30" t="s">
        <v>89</v>
      </c>
      <c r="C22" s="30" t="s">
        <v>788</v>
      </c>
      <c r="D22" s="30"/>
      <c r="E22" s="30" t="s">
        <v>870</v>
      </c>
      <c r="F22" s="30">
        <v>17298.5</v>
      </c>
      <c r="G22" s="30"/>
    </row>
    <row r="23" spans="1:7" x14ac:dyDescent="0.25">
      <c r="A23" s="29">
        <v>45894</v>
      </c>
      <c r="B23" s="30" t="s">
        <v>89</v>
      </c>
      <c r="C23" s="30" t="s">
        <v>788</v>
      </c>
      <c r="D23" s="30"/>
      <c r="E23" s="30" t="s">
        <v>870</v>
      </c>
      <c r="F23" s="30">
        <v>277.3</v>
      </c>
      <c r="G23" s="30"/>
    </row>
    <row r="24" spans="1:7" x14ac:dyDescent="0.25">
      <c r="A24" s="29">
        <v>45910</v>
      </c>
      <c r="B24" s="30" t="s">
        <v>224</v>
      </c>
      <c r="C24" s="30" t="s">
        <v>788</v>
      </c>
      <c r="D24" s="30"/>
      <c r="E24" s="30" t="s">
        <v>870</v>
      </c>
      <c r="F24" s="30"/>
      <c r="G24" s="30">
        <v>321715</v>
      </c>
    </row>
    <row r="25" spans="1:7" x14ac:dyDescent="0.25">
      <c r="A25" s="29">
        <v>45910</v>
      </c>
      <c r="B25" s="30" t="s">
        <v>224</v>
      </c>
      <c r="C25" s="30" t="s">
        <v>788</v>
      </c>
      <c r="D25" s="30"/>
      <c r="E25" s="30" t="s">
        <v>870</v>
      </c>
      <c r="F25" s="30"/>
      <c r="G25" s="30">
        <v>727765</v>
      </c>
    </row>
    <row r="26" spans="1:7" x14ac:dyDescent="0.25">
      <c r="A26" s="29">
        <v>45910</v>
      </c>
      <c r="B26" s="30" t="s">
        <v>224</v>
      </c>
      <c r="C26" s="30" t="s">
        <v>788</v>
      </c>
      <c r="D26" s="30"/>
      <c r="E26" s="30" t="s">
        <v>870</v>
      </c>
      <c r="F26" s="30">
        <v>4256.42</v>
      </c>
      <c r="G26" s="30"/>
    </row>
    <row r="27" spans="1:7" x14ac:dyDescent="0.25">
      <c r="A27" s="29">
        <v>45910</v>
      </c>
      <c r="B27" s="30" t="s">
        <v>224</v>
      </c>
      <c r="C27" s="30" t="s">
        <v>788</v>
      </c>
      <c r="D27" s="30"/>
      <c r="E27" s="30" t="s">
        <v>870</v>
      </c>
      <c r="F27" s="30">
        <v>9051.5</v>
      </c>
      <c r="G27" s="30"/>
    </row>
    <row r="28" spans="1:7" x14ac:dyDescent="0.25">
      <c r="A28" s="29">
        <v>45943</v>
      </c>
      <c r="B28" s="30" t="s">
        <v>383</v>
      </c>
      <c r="C28" s="30" t="s">
        <v>788</v>
      </c>
      <c r="D28" s="30"/>
      <c r="E28" s="30" t="s">
        <v>870</v>
      </c>
      <c r="F28" s="30"/>
      <c r="G28" s="30">
        <v>1826569</v>
      </c>
    </row>
    <row r="29" spans="1:7" x14ac:dyDescent="0.25">
      <c r="A29" s="29">
        <v>45943</v>
      </c>
      <c r="B29" s="30" t="s">
        <v>383</v>
      </c>
      <c r="C29" s="30" t="s">
        <v>788</v>
      </c>
      <c r="D29" s="30"/>
      <c r="E29" s="30" t="s">
        <v>870</v>
      </c>
      <c r="F29" s="30">
        <v>25205.5</v>
      </c>
      <c r="G29" s="30"/>
    </row>
    <row r="30" spans="1:7" x14ac:dyDescent="0.25">
      <c r="A30" s="29">
        <v>45961</v>
      </c>
      <c r="B30" s="30" t="s">
        <v>383</v>
      </c>
      <c r="C30" s="30" t="s">
        <v>788</v>
      </c>
      <c r="D30" s="30"/>
      <c r="E30" s="30" t="s">
        <v>870</v>
      </c>
      <c r="F30" s="30"/>
      <c r="G30" s="30">
        <v>2026987</v>
      </c>
    </row>
    <row r="31" spans="1:7" x14ac:dyDescent="0.25">
      <c r="A31" s="29">
        <v>45961</v>
      </c>
      <c r="B31" s="30" t="s">
        <v>383</v>
      </c>
      <c r="C31" s="30" t="s">
        <v>788</v>
      </c>
      <c r="D31" s="30"/>
      <c r="E31" s="30" t="s">
        <v>870</v>
      </c>
      <c r="F31" s="30">
        <v>32022.5</v>
      </c>
      <c r="G31" s="30"/>
    </row>
    <row r="32" spans="1:7" x14ac:dyDescent="0.25">
      <c r="A32" s="29">
        <v>45973</v>
      </c>
      <c r="B32" s="30" t="s">
        <v>474</v>
      </c>
      <c r="C32" s="30" t="s">
        <v>788</v>
      </c>
      <c r="D32" s="30"/>
      <c r="E32" s="30" t="s">
        <v>870</v>
      </c>
      <c r="F32" s="30"/>
      <c r="G32" s="30">
        <v>1020529</v>
      </c>
    </row>
    <row r="33" spans="1:7" x14ac:dyDescent="0.25">
      <c r="A33" s="29">
        <v>45973</v>
      </c>
      <c r="B33" s="30" t="s">
        <v>474</v>
      </c>
      <c r="C33" s="30" t="s">
        <v>788</v>
      </c>
      <c r="D33" s="30"/>
      <c r="E33" s="30" t="s">
        <v>870</v>
      </c>
      <c r="F33" s="30">
        <v>15957.5</v>
      </c>
      <c r="G33" s="30"/>
    </row>
    <row r="34" spans="1:7" x14ac:dyDescent="0.25">
      <c r="A34" s="29">
        <v>45988</v>
      </c>
      <c r="B34" s="30" t="s">
        <v>474</v>
      </c>
      <c r="C34" s="30" t="s">
        <v>788</v>
      </c>
      <c r="D34" s="30"/>
      <c r="E34" s="30" t="s">
        <v>870</v>
      </c>
      <c r="F34" s="30"/>
      <c r="G34" s="30">
        <v>1178837</v>
      </c>
    </row>
    <row r="35" spans="1:7" x14ac:dyDescent="0.25">
      <c r="A35" s="29">
        <v>45988</v>
      </c>
      <c r="B35" s="30" t="s">
        <v>474</v>
      </c>
      <c r="C35" s="30" t="s">
        <v>788</v>
      </c>
      <c r="D35" s="30"/>
      <c r="E35" s="30" t="s">
        <v>870</v>
      </c>
      <c r="F35" s="30">
        <v>17360.5</v>
      </c>
      <c r="G35" s="30"/>
    </row>
    <row r="36" spans="1:7" x14ac:dyDescent="0.25">
      <c r="A36" s="29">
        <v>46031</v>
      </c>
      <c r="B36" s="30" t="s">
        <v>871</v>
      </c>
      <c r="C36" s="30" t="s">
        <v>788</v>
      </c>
      <c r="D36" s="30"/>
      <c r="E36" s="30" t="s">
        <v>870</v>
      </c>
      <c r="F36" s="30"/>
      <c r="G36" s="30">
        <v>769422</v>
      </c>
    </row>
    <row r="37" spans="1:7" x14ac:dyDescent="0.25">
      <c r="A37" s="29">
        <v>46031</v>
      </c>
      <c r="B37" s="30" t="s">
        <v>871</v>
      </c>
      <c r="C37" s="30" t="s">
        <v>788</v>
      </c>
      <c r="D37" s="30"/>
      <c r="E37" s="30" t="s">
        <v>870</v>
      </c>
      <c r="F37" s="30"/>
      <c r="G37" s="30">
        <v>3756345</v>
      </c>
    </row>
    <row r="38" spans="1:7" x14ac:dyDescent="0.25">
      <c r="A38" s="29">
        <v>46031</v>
      </c>
      <c r="B38" s="30" t="s">
        <v>871</v>
      </c>
      <c r="C38" s="30" t="s">
        <v>788</v>
      </c>
      <c r="D38" s="30"/>
      <c r="E38" s="30" t="s">
        <v>870</v>
      </c>
      <c r="F38" s="30">
        <v>12508.5</v>
      </c>
      <c r="G38" s="30"/>
    </row>
    <row r="39" spans="1:7" x14ac:dyDescent="0.25">
      <c r="A39" s="29">
        <v>46031</v>
      </c>
      <c r="B39" s="30" t="s">
        <v>871</v>
      </c>
      <c r="C39" s="30" t="s">
        <v>788</v>
      </c>
      <c r="D39" s="30"/>
      <c r="E39" s="30" t="s">
        <v>870</v>
      </c>
      <c r="F39" s="30">
        <v>48786.5</v>
      </c>
      <c r="G39" s="30"/>
    </row>
    <row r="40" spans="1:7" x14ac:dyDescent="0.25">
      <c r="A40" s="29">
        <v>45939</v>
      </c>
      <c r="B40" s="30" t="s">
        <v>383</v>
      </c>
      <c r="C40" s="30" t="s">
        <v>788</v>
      </c>
      <c r="D40" s="30"/>
      <c r="E40" s="30" t="s">
        <v>872</v>
      </c>
      <c r="F40" s="30">
        <v>75000</v>
      </c>
      <c r="G40" s="30"/>
    </row>
    <row r="41" spans="1:7" x14ac:dyDescent="0.25">
      <c r="A41" s="29">
        <v>45904</v>
      </c>
      <c r="B41" s="30" t="s">
        <v>224</v>
      </c>
      <c r="C41" s="30" t="s">
        <v>788</v>
      </c>
      <c r="D41" s="30"/>
      <c r="E41" s="30" t="s">
        <v>873</v>
      </c>
      <c r="F41" s="30">
        <v>1282</v>
      </c>
      <c r="G41" s="30"/>
    </row>
    <row r="42" spans="1:7" x14ac:dyDescent="0.25">
      <c r="A42" s="29">
        <v>45904</v>
      </c>
      <c r="B42" s="30" t="s">
        <v>224</v>
      </c>
      <c r="C42" s="30" t="s">
        <v>788</v>
      </c>
      <c r="D42" s="30"/>
      <c r="E42" s="30" t="s">
        <v>873</v>
      </c>
      <c r="F42" s="30">
        <v>150575</v>
      </c>
      <c r="G42" s="30"/>
    </row>
    <row r="43" spans="1:7" x14ac:dyDescent="0.25">
      <c r="A43" s="29">
        <v>45937</v>
      </c>
      <c r="B43" s="30" t="s">
        <v>383</v>
      </c>
      <c r="C43" s="30" t="s">
        <v>788</v>
      </c>
      <c r="D43" s="30"/>
      <c r="E43" s="30" t="s">
        <v>873</v>
      </c>
      <c r="F43" s="30">
        <v>2112</v>
      </c>
      <c r="G43" s="30"/>
    </row>
    <row r="44" spans="1:7" x14ac:dyDescent="0.25">
      <c r="A44" s="29">
        <v>45937</v>
      </c>
      <c r="B44" s="30" t="s">
        <v>383</v>
      </c>
      <c r="C44" s="30" t="s">
        <v>788</v>
      </c>
      <c r="D44" s="30"/>
      <c r="E44" s="30" t="s">
        <v>873</v>
      </c>
      <c r="F44" s="30">
        <v>55050</v>
      </c>
      <c r="G44" s="30"/>
    </row>
    <row r="45" spans="1:7" x14ac:dyDescent="0.25">
      <c r="A45" s="29">
        <v>45968</v>
      </c>
      <c r="B45" s="30" t="s">
        <v>474</v>
      </c>
      <c r="C45" s="30" t="s">
        <v>788</v>
      </c>
      <c r="D45" s="30"/>
      <c r="E45" s="30" t="s">
        <v>873</v>
      </c>
      <c r="F45" s="30">
        <v>1266</v>
      </c>
      <c r="G45" s="30"/>
    </row>
    <row r="46" spans="1:7" x14ac:dyDescent="0.25">
      <c r="A46" s="29">
        <v>45968</v>
      </c>
      <c r="B46" s="30" t="s">
        <v>474</v>
      </c>
      <c r="C46" s="30" t="s">
        <v>788</v>
      </c>
      <c r="D46" s="30"/>
      <c r="E46" s="30" t="s">
        <v>873</v>
      </c>
      <c r="F46" s="30">
        <v>125201</v>
      </c>
      <c r="G46" s="30"/>
    </row>
    <row r="47" spans="1:7" x14ac:dyDescent="0.25">
      <c r="A47" s="29">
        <v>45996</v>
      </c>
      <c r="B47" s="30" t="s">
        <v>581</v>
      </c>
      <c r="C47" s="30" t="s">
        <v>788</v>
      </c>
      <c r="D47" s="30"/>
      <c r="E47" s="30" t="s">
        <v>873</v>
      </c>
      <c r="F47" s="30">
        <v>133636</v>
      </c>
      <c r="G47" s="30"/>
    </row>
    <row r="48" spans="1:7" x14ac:dyDescent="0.25">
      <c r="A48" s="29">
        <v>46029</v>
      </c>
      <c r="B48" s="30" t="s">
        <v>871</v>
      </c>
      <c r="C48" s="30" t="s">
        <v>788</v>
      </c>
      <c r="D48" s="30"/>
      <c r="E48" s="30" t="s">
        <v>873</v>
      </c>
      <c r="F48" s="30">
        <v>123663</v>
      </c>
      <c r="G48" s="30"/>
    </row>
  </sheetData>
  <mergeCells count="2">
    <mergeCell ref="C1:E1"/>
    <mergeCell ref="C17:E17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J49" sqref="J49"/>
    </sheetView>
  </sheetViews>
  <sheetFormatPr defaultRowHeight="15" x14ac:dyDescent="0.25"/>
  <cols>
    <col min="1" max="1" width="10.42578125" bestFit="1" customWidth="1"/>
    <col min="2" max="2" width="10.140625" customWidth="1"/>
    <col min="4" max="4" width="13.5703125" customWidth="1"/>
    <col min="5" max="5" width="24.5703125" bestFit="1" customWidth="1"/>
    <col min="10" max="10" width="10.42578125" bestFit="1" customWidth="1"/>
  </cols>
  <sheetData>
    <row r="1" spans="1:7" x14ac:dyDescent="0.25">
      <c r="C1" s="78" t="s">
        <v>839</v>
      </c>
      <c r="D1" s="78"/>
      <c r="E1" s="78"/>
    </row>
    <row r="2" spans="1:7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86</v>
      </c>
      <c r="G2" t="s">
        <v>87</v>
      </c>
    </row>
    <row r="3" spans="1:7" x14ac:dyDescent="0.25">
      <c r="A3" s="29">
        <v>45999</v>
      </c>
      <c r="B3" s="30" t="s">
        <v>581</v>
      </c>
      <c r="C3" s="30" t="s">
        <v>752</v>
      </c>
      <c r="D3" s="30"/>
      <c r="E3" s="30" t="s">
        <v>749</v>
      </c>
      <c r="F3" s="30"/>
      <c r="G3" s="30">
        <v>500000</v>
      </c>
    </row>
    <row r="4" spans="1:7" x14ac:dyDescent="0.25">
      <c r="A4" s="29"/>
      <c r="B4" s="30" t="s">
        <v>815</v>
      </c>
      <c r="C4" s="30"/>
      <c r="D4" s="30"/>
      <c r="E4" s="30"/>
      <c r="F4" s="33"/>
      <c r="G4" s="30"/>
    </row>
    <row r="5" spans="1:7" x14ac:dyDescent="0.25">
      <c r="A5" s="29"/>
      <c r="B5" s="30"/>
      <c r="C5" s="30"/>
      <c r="D5" s="30"/>
      <c r="E5" s="30"/>
      <c r="F5" s="30"/>
      <c r="G5" s="30"/>
    </row>
    <row r="6" spans="1:7" ht="15.75" thickBot="1" x14ac:dyDescent="0.3">
      <c r="A6" s="26" t="s">
        <v>80</v>
      </c>
      <c r="B6" s="27" t="s">
        <v>81</v>
      </c>
      <c r="C6" s="27" t="s">
        <v>82</v>
      </c>
      <c r="D6" s="27" t="s">
        <v>83</v>
      </c>
      <c r="E6" s="27" t="s">
        <v>84</v>
      </c>
      <c r="F6" s="27" t="s">
        <v>86</v>
      </c>
      <c r="G6" s="28" t="s">
        <v>87</v>
      </c>
    </row>
    <row r="7" spans="1:7" ht="15.75" thickTop="1" x14ac:dyDescent="0.25">
      <c r="A7" s="29">
        <v>46034</v>
      </c>
      <c r="B7" s="30" t="s">
        <v>815</v>
      </c>
      <c r="C7" s="30" t="s">
        <v>752</v>
      </c>
      <c r="D7" s="30"/>
      <c r="E7" s="30" t="s">
        <v>750</v>
      </c>
      <c r="F7" s="30"/>
      <c r="G7" s="30">
        <v>350000</v>
      </c>
    </row>
    <row r="8" spans="1:7" x14ac:dyDescent="0.25">
      <c r="A8" s="29"/>
      <c r="B8" s="30"/>
      <c r="C8" s="30"/>
      <c r="D8" s="30"/>
      <c r="E8" s="30"/>
      <c r="F8" s="30"/>
      <c r="G8" s="30"/>
    </row>
    <row r="9" spans="1:7" ht="15.75" thickBot="1" x14ac:dyDescent="0.3">
      <c r="A9" s="26" t="s">
        <v>80</v>
      </c>
      <c r="B9" s="27" t="s">
        <v>81</v>
      </c>
      <c r="C9" s="27" t="s">
        <v>82</v>
      </c>
      <c r="D9" s="27" t="s">
        <v>83</v>
      </c>
      <c r="E9" s="27" t="s">
        <v>84</v>
      </c>
      <c r="F9" s="27" t="s">
        <v>86</v>
      </c>
      <c r="G9" s="28" t="s">
        <v>87</v>
      </c>
    </row>
    <row r="10" spans="1:7" ht="15.75" thickTop="1" x14ac:dyDescent="0.25">
      <c r="A10" s="29">
        <v>46035</v>
      </c>
      <c r="B10" s="30" t="s">
        <v>815</v>
      </c>
      <c r="C10" s="30" t="s">
        <v>752</v>
      </c>
      <c r="D10" s="30"/>
      <c r="E10" s="30" t="s">
        <v>751</v>
      </c>
      <c r="F10" s="30"/>
      <c r="G10" s="30">
        <v>335000</v>
      </c>
    </row>
    <row r="11" spans="1:7" ht="15.75" thickBot="1" x14ac:dyDescent="0.3">
      <c r="A11" s="26" t="s">
        <v>80</v>
      </c>
      <c r="B11" s="27" t="s">
        <v>81</v>
      </c>
      <c r="C11" s="27" t="s">
        <v>82</v>
      </c>
      <c r="D11" s="27" t="s">
        <v>83</v>
      </c>
      <c r="E11" s="27" t="s">
        <v>84</v>
      </c>
      <c r="F11" s="27" t="s">
        <v>86</v>
      </c>
      <c r="G11" s="28" t="s">
        <v>87</v>
      </c>
    </row>
    <row r="12" spans="1:7" ht="15.75" thickTop="1" x14ac:dyDescent="0.25">
      <c r="A12" s="29">
        <v>45976</v>
      </c>
      <c r="B12" s="30" t="s">
        <v>474</v>
      </c>
      <c r="C12" s="30" t="s">
        <v>752</v>
      </c>
      <c r="D12" s="30"/>
      <c r="E12" s="30" t="s">
        <v>748</v>
      </c>
      <c r="F12" s="30"/>
      <c r="G12" s="30">
        <v>1375000</v>
      </c>
    </row>
    <row r="13" spans="1:7" x14ac:dyDescent="0.25">
      <c r="A13" s="29">
        <v>46015</v>
      </c>
      <c r="B13" s="30" t="s">
        <v>581</v>
      </c>
      <c r="C13" s="30" t="s">
        <v>752</v>
      </c>
      <c r="D13" s="30"/>
      <c r="E13" s="30" t="s">
        <v>755</v>
      </c>
      <c r="F13" s="30">
        <v>1395294</v>
      </c>
      <c r="G13" s="30"/>
    </row>
    <row r="14" spans="1:7" x14ac:dyDescent="0.25">
      <c r="A14" s="29"/>
      <c r="B14" s="30"/>
      <c r="C14" s="30"/>
      <c r="D14" s="30"/>
      <c r="E14" s="36" t="s">
        <v>21</v>
      </c>
      <c r="F14" s="36">
        <f>SUM(F12:F13)</f>
        <v>1395294</v>
      </c>
      <c r="G14" s="36">
        <f>SUM(G12:G13)</f>
        <v>1375000</v>
      </c>
    </row>
    <row r="15" spans="1:7" ht="15.75" thickBot="1" x14ac:dyDescent="0.3">
      <c r="A15" s="26" t="s">
        <v>80</v>
      </c>
      <c r="B15" s="27" t="s">
        <v>81</v>
      </c>
      <c r="C15" s="27" t="s">
        <v>82</v>
      </c>
      <c r="D15" s="27" t="s">
        <v>83</v>
      </c>
      <c r="E15" s="27" t="s">
        <v>84</v>
      </c>
      <c r="F15" s="27" t="s">
        <v>86</v>
      </c>
      <c r="G15" s="28" t="s">
        <v>87</v>
      </c>
    </row>
    <row r="16" spans="1:7" ht="15.75" thickTop="1" x14ac:dyDescent="0.25">
      <c r="A16" s="31">
        <v>45881</v>
      </c>
      <c r="B16" s="32" t="s">
        <v>89</v>
      </c>
      <c r="C16" s="32" t="s">
        <v>752</v>
      </c>
      <c r="D16" s="32"/>
      <c r="E16" s="32" t="s">
        <v>753</v>
      </c>
      <c r="F16" s="32">
        <v>42004</v>
      </c>
      <c r="G16" s="32"/>
    </row>
    <row r="17" spans="1:7" x14ac:dyDescent="0.25">
      <c r="A17" s="31">
        <v>45912</v>
      </c>
      <c r="B17" s="32" t="s">
        <v>224</v>
      </c>
      <c r="C17" s="32" t="s">
        <v>752</v>
      </c>
      <c r="D17" s="32"/>
      <c r="E17" s="32" t="s">
        <v>753</v>
      </c>
      <c r="F17" s="32">
        <v>42004</v>
      </c>
      <c r="G17" s="32"/>
    </row>
    <row r="18" spans="1:7" x14ac:dyDescent="0.25">
      <c r="A18" s="31">
        <v>45942</v>
      </c>
      <c r="B18" s="32" t="s">
        <v>383</v>
      </c>
      <c r="C18" s="32" t="s">
        <v>752</v>
      </c>
      <c r="D18" s="32"/>
      <c r="E18" s="32" t="s">
        <v>753</v>
      </c>
      <c r="F18" s="32">
        <v>42004</v>
      </c>
      <c r="G18" s="32"/>
    </row>
    <row r="19" spans="1:7" x14ac:dyDescent="0.25">
      <c r="A19" s="31">
        <v>45973</v>
      </c>
      <c r="B19" s="32" t="s">
        <v>474</v>
      </c>
      <c r="C19" s="32" t="s">
        <v>752</v>
      </c>
      <c r="D19" s="32"/>
      <c r="E19" s="32" t="s">
        <v>753</v>
      </c>
      <c r="F19" s="32">
        <v>24431.96</v>
      </c>
      <c r="G19" s="32"/>
    </row>
    <row r="20" spans="1:7" x14ac:dyDescent="0.25">
      <c r="A20" s="31">
        <v>45973</v>
      </c>
      <c r="B20" s="32" t="s">
        <v>474</v>
      </c>
      <c r="C20" s="32" t="s">
        <v>752</v>
      </c>
      <c r="D20" s="32"/>
      <c r="E20" s="32" t="s">
        <v>753</v>
      </c>
      <c r="F20" s="32">
        <v>17572.04</v>
      </c>
      <c r="G20" s="32"/>
    </row>
    <row r="21" spans="1:7" x14ac:dyDescent="0.25">
      <c r="A21" s="31">
        <v>46003</v>
      </c>
      <c r="B21" s="32" t="s">
        <v>581</v>
      </c>
      <c r="C21" s="32" t="s">
        <v>752</v>
      </c>
      <c r="D21" s="32"/>
      <c r="E21" s="32" t="s">
        <v>753</v>
      </c>
      <c r="F21" s="32">
        <v>42004</v>
      </c>
      <c r="G21" s="32"/>
    </row>
    <row r="22" spans="1:7" x14ac:dyDescent="0.25">
      <c r="A22" s="31">
        <v>46034</v>
      </c>
      <c r="B22" s="32" t="s">
        <v>815</v>
      </c>
      <c r="C22" s="32" t="s">
        <v>752</v>
      </c>
      <c r="D22" s="32"/>
      <c r="E22" s="32" t="s">
        <v>753</v>
      </c>
      <c r="F22" s="32">
        <v>42004</v>
      </c>
      <c r="G22" s="32"/>
    </row>
    <row r="23" spans="1:7" x14ac:dyDescent="0.25">
      <c r="A23" s="29"/>
      <c r="B23" s="30"/>
      <c r="C23" s="30"/>
      <c r="D23" s="30"/>
      <c r="E23" s="36" t="s">
        <v>21</v>
      </c>
      <c r="F23" s="36">
        <f>SUM(F16:F22)</f>
        <v>252024</v>
      </c>
      <c r="G23" s="30"/>
    </row>
    <row r="24" spans="1:7" ht="15.75" thickBot="1" x14ac:dyDescent="0.3">
      <c r="A24" s="26" t="s">
        <v>80</v>
      </c>
      <c r="B24" s="27" t="s">
        <v>81</v>
      </c>
      <c r="C24" s="27" t="s">
        <v>82</v>
      </c>
      <c r="D24" s="27" t="s">
        <v>83</v>
      </c>
      <c r="E24" s="27" t="s">
        <v>84</v>
      </c>
      <c r="F24" s="27" t="s">
        <v>86</v>
      </c>
      <c r="G24" s="28" t="s">
        <v>87</v>
      </c>
    </row>
    <row r="25" spans="1:7" ht="15.75" thickTop="1" x14ac:dyDescent="0.25">
      <c r="A25" s="29">
        <v>45892</v>
      </c>
      <c r="B25" s="30" t="s">
        <v>89</v>
      </c>
      <c r="C25" s="30" t="s">
        <v>752</v>
      </c>
      <c r="D25" s="30"/>
      <c r="E25" s="30" t="s">
        <v>754</v>
      </c>
      <c r="F25" s="30">
        <v>12616</v>
      </c>
      <c r="G25" s="30"/>
    </row>
    <row r="26" spans="1:7" x14ac:dyDescent="0.25">
      <c r="A26" s="29">
        <v>45906</v>
      </c>
      <c r="B26" s="30" t="s">
        <v>224</v>
      </c>
      <c r="C26" s="30" t="s">
        <v>752</v>
      </c>
      <c r="D26" s="30"/>
      <c r="E26" s="30" t="s">
        <v>754</v>
      </c>
      <c r="F26" s="30">
        <v>59</v>
      </c>
      <c r="G26" s="30"/>
    </row>
    <row r="27" spans="1:7" x14ac:dyDescent="0.25">
      <c r="A27" s="29">
        <v>45923</v>
      </c>
      <c r="B27" s="30" t="s">
        <v>224</v>
      </c>
      <c r="C27" s="30" t="s">
        <v>752</v>
      </c>
      <c r="D27" s="30"/>
      <c r="E27" s="30" t="s">
        <v>754</v>
      </c>
      <c r="F27" s="30">
        <v>12616</v>
      </c>
      <c r="G27" s="30"/>
    </row>
    <row r="28" spans="1:7" x14ac:dyDescent="0.25">
      <c r="A28" s="29">
        <v>45953</v>
      </c>
      <c r="B28" s="30" t="s">
        <v>383</v>
      </c>
      <c r="C28" s="30" t="s">
        <v>752</v>
      </c>
      <c r="D28" s="30"/>
      <c r="E28" s="30" t="s">
        <v>754</v>
      </c>
      <c r="F28" s="30">
        <v>13242</v>
      </c>
      <c r="G28" s="30"/>
    </row>
    <row r="29" spans="1:7" x14ac:dyDescent="0.25">
      <c r="A29" s="29">
        <v>45984</v>
      </c>
      <c r="B29" s="30" t="s">
        <v>474</v>
      </c>
      <c r="C29" s="30" t="s">
        <v>752</v>
      </c>
      <c r="D29" s="30"/>
      <c r="E29" s="30" t="s">
        <v>754</v>
      </c>
      <c r="F29" s="30">
        <v>13242</v>
      </c>
      <c r="G29" s="30"/>
    </row>
    <row r="30" spans="1:7" x14ac:dyDescent="0.25">
      <c r="A30" s="29">
        <v>46014</v>
      </c>
      <c r="B30" s="30" t="s">
        <v>581</v>
      </c>
      <c r="C30" s="30" t="s">
        <v>752</v>
      </c>
      <c r="D30" s="30"/>
      <c r="E30" s="30" t="s">
        <v>754</v>
      </c>
      <c r="F30" s="30">
        <v>13242</v>
      </c>
      <c r="G30" s="30"/>
    </row>
    <row r="31" spans="1:7" x14ac:dyDescent="0.25">
      <c r="A31" s="29"/>
      <c r="B31" s="32" t="s">
        <v>815</v>
      </c>
      <c r="C31" s="30"/>
      <c r="D31" s="30"/>
      <c r="E31" s="30"/>
      <c r="F31" s="33"/>
      <c r="G31" s="30"/>
    </row>
    <row r="32" spans="1:7" x14ac:dyDescent="0.25">
      <c r="A32" s="29"/>
      <c r="B32" s="30"/>
      <c r="C32" s="30"/>
      <c r="D32" s="30"/>
      <c r="E32" s="36" t="s">
        <v>21</v>
      </c>
      <c r="F32" s="36">
        <f>SUM(F24:F30)</f>
        <v>65017</v>
      </c>
      <c r="G32" s="30"/>
    </row>
    <row r="33" spans="1:7" ht="15.75" thickBot="1" x14ac:dyDescent="0.3">
      <c r="A33" s="26" t="s">
        <v>80</v>
      </c>
      <c r="B33" s="27" t="s">
        <v>81</v>
      </c>
      <c r="C33" s="27" t="s">
        <v>82</v>
      </c>
      <c r="D33" s="27" t="s">
        <v>83</v>
      </c>
      <c r="E33" s="27" t="s">
        <v>84</v>
      </c>
      <c r="F33" s="27" t="s">
        <v>86</v>
      </c>
      <c r="G33" s="28" t="s">
        <v>87</v>
      </c>
    </row>
    <row r="34" spans="1:7" ht="15.75" thickTop="1" x14ac:dyDescent="0.25">
      <c r="A34" s="37"/>
      <c r="B34" s="30" t="s">
        <v>89</v>
      </c>
      <c r="C34" s="38"/>
      <c r="D34" s="38"/>
      <c r="E34" s="38"/>
      <c r="F34" s="39"/>
      <c r="G34" s="38"/>
    </row>
    <row r="35" spans="1:7" x14ac:dyDescent="0.25">
      <c r="A35" s="37"/>
      <c r="B35" s="30" t="s">
        <v>224</v>
      </c>
      <c r="C35" s="38"/>
      <c r="D35" s="38"/>
      <c r="E35" s="38"/>
      <c r="F35" s="39"/>
      <c r="G35" s="38"/>
    </row>
    <row r="36" spans="1:7" x14ac:dyDescent="0.25">
      <c r="A36" s="37"/>
      <c r="B36" s="30" t="s">
        <v>383</v>
      </c>
      <c r="C36" s="38"/>
      <c r="D36" s="38"/>
      <c r="E36" s="38"/>
      <c r="F36" s="39"/>
      <c r="G36" s="38"/>
    </row>
    <row r="37" spans="1:7" x14ac:dyDescent="0.25">
      <c r="A37" s="29">
        <v>45976</v>
      </c>
      <c r="B37" s="30" t="s">
        <v>474</v>
      </c>
      <c r="C37" s="30" t="s">
        <v>752</v>
      </c>
      <c r="D37" s="30"/>
      <c r="E37" s="30" t="s">
        <v>756</v>
      </c>
      <c r="F37" s="30">
        <v>1373868.1</v>
      </c>
      <c r="G37" s="30"/>
    </row>
    <row r="38" spans="1:7" x14ac:dyDescent="0.25">
      <c r="A38" s="29"/>
      <c r="B38" s="30" t="s">
        <v>581</v>
      </c>
      <c r="C38" s="30"/>
      <c r="D38" s="30"/>
      <c r="E38" s="30"/>
      <c r="F38" s="33"/>
      <c r="G38" s="30"/>
    </row>
    <row r="39" spans="1:7" x14ac:dyDescent="0.25">
      <c r="A39" s="29"/>
      <c r="B39" s="32" t="s">
        <v>815</v>
      </c>
      <c r="C39" s="30"/>
      <c r="D39" s="30"/>
      <c r="E39" s="30"/>
      <c r="F39" s="33"/>
      <c r="G39" s="30"/>
    </row>
    <row r="40" spans="1:7" x14ac:dyDescent="0.25">
      <c r="A40" s="29"/>
      <c r="B40" s="30"/>
      <c r="C40" s="30"/>
      <c r="D40" s="30"/>
      <c r="E40" s="30"/>
      <c r="F40" s="30"/>
      <c r="G40" s="30"/>
    </row>
    <row r="41" spans="1:7" x14ac:dyDescent="0.25">
      <c r="A41" s="29"/>
      <c r="B41" s="30"/>
      <c r="C41" s="30"/>
      <c r="D41" s="30"/>
      <c r="E41" s="30"/>
      <c r="F41" s="30"/>
      <c r="G41" s="30"/>
    </row>
    <row r="42" spans="1:7" x14ac:dyDescent="0.25">
      <c r="A42" s="29"/>
      <c r="B42" s="30"/>
      <c r="C42" s="30"/>
      <c r="D42" s="30"/>
      <c r="E42" s="30"/>
      <c r="F42" s="30"/>
      <c r="G42" s="30"/>
    </row>
    <row r="43" spans="1:7" x14ac:dyDescent="0.25">
      <c r="A43" s="29"/>
      <c r="B43" s="30"/>
      <c r="C43" s="30"/>
      <c r="D43" s="30"/>
      <c r="E43" s="30"/>
      <c r="F43" s="30"/>
      <c r="G43" s="30"/>
    </row>
    <row r="44" spans="1:7" x14ac:dyDescent="0.25">
      <c r="A44" s="34"/>
      <c r="B44" s="35"/>
      <c r="C44" s="35"/>
      <c r="D44" s="35"/>
      <c r="E44" s="35"/>
      <c r="F44" s="35"/>
      <c r="G44" s="35"/>
    </row>
    <row r="49" spans="1:7" ht="15.75" thickBot="1" x14ac:dyDescent="0.3"/>
    <row r="50" spans="1:7" ht="15.75" thickBot="1" x14ac:dyDescent="0.3">
      <c r="C50" s="93" t="s">
        <v>869</v>
      </c>
      <c r="D50" s="94"/>
      <c r="E50" s="95"/>
    </row>
    <row r="51" spans="1:7" x14ac:dyDescent="0.25">
      <c r="A51" t="s">
        <v>80</v>
      </c>
      <c r="B51" t="s">
        <v>81</v>
      </c>
      <c r="C51" t="s">
        <v>82</v>
      </c>
      <c r="D51" t="s">
        <v>83</v>
      </c>
      <c r="E51" t="s">
        <v>84</v>
      </c>
      <c r="F51" t="s">
        <v>86</v>
      </c>
      <c r="G51" t="s">
        <v>87</v>
      </c>
    </row>
    <row r="52" spans="1:7" x14ac:dyDescent="0.25">
      <c r="A52" s="29">
        <v>45900</v>
      </c>
      <c r="B52" s="30" t="s">
        <v>89</v>
      </c>
      <c r="C52" s="30" t="s">
        <v>752</v>
      </c>
      <c r="D52" s="30"/>
      <c r="E52" s="30" t="s">
        <v>874</v>
      </c>
      <c r="F52" s="30">
        <v>336463</v>
      </c>
      <c r="G52" s="30"/>
    </row>
    <row r="53" spans="1:7" x14ac:dyDescent="0.25">
      <c r="A53" s="29">
        <v>45930</v>
      </c>
      <c r="B53" s="30" t="s">
        <v>224</v>
      </c>
      <c r="C53" s="30" t="s">
        <v>752</v>
      </c>
      <c r="D53" s="30"/>
      <c r="E53" s="30" t="s">
        <v>874</v>
      </c>
      <c r="F53" s="30">
        <v>316422</v>
      </c>
      <c r="G53" s="30"/>
    </row>
    <row r="54" spans="1:7" x14ac:dyDescent="0.25">
      <c r="A54" s="29">
        <v>45961</v>
      </c>
      <c r="B54" s="30" t="s">
        <v>383</v>
      </c>
      <c r="C54" s="30" t="s">
        <v>752</v>
      </c>
      <c r="D54" s="30"/>
      <c r="E54" s="30" t="s">
        <v>874</v>
      </c>
      <c r="F54" s="30">
        <v>327291</v>
      </c>
      <c r="G54" s="30"/>
    </row>
    <row r="55" spans="1:7" x14ac:dyDescent="0.25">
      <c r="A55" s="29">
        <v>45991</v>
      </c>
      <c r="B55" s="30" t="s">
        <v>474</v>
      </c>
      <c r="C55" s="30" t="s">
        <v>752</v>
      </c>
      <c r="D55" s="30"/>
      <c r="E55" s="30" t="s">
        <v>874</v>
      </c>
      <c r="F55" s="30">
        <v>316471</v>
      </c>
      <c r="G55" s="30"/>
    </row>
    <row r="56" spans="1:7" x14ac:dyDescent="0.25">
      <c r="A56" s="29">
        <v>46022</v>
      </c>
      <c r="B56" s="30" t="s">
        <v>581</v>
      </c>
      <c r="C56" s="30" t="s">
        <v>752</v>
      </c>
      <c r="D56" s="30"/>
      <c r="E56" s="30" t="s">
        <v>874</v>
      </c>
      <c r="F56" s="30">
        <v>327926</v>
      </c>
      <c r="G56" s="30"/>
    </row>
    <row r="57" spans="1:7" x14ac:dyDescent="0.25">
      <c r="A57" s="96"/>
      <c r="B57" s="97"/>
      <c r="C57" s="97"/>
      <c r="D57" s="97"/>
      <c r="E57" s="97" t="s">
        <v>21</v>
      </c>
      <c r="F57" s="97">
        <f>SUM(F52:F56)</f>
        <v>1624573</v>
      </c>
      <c r="G57" s="97"/>
    </row>
  </sheetData>
  <mergeCells count="2">
    <mergeCell ref="C1:E1"/>
    <mergeCell ref="C50:E50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>
      <selection activeCell="L45" sqref="L45"/>
    </sheetView>
  </sheetViews>
  <sheetFormatPr defaultRowHeight="15" x14ac:dyDescent="0.25"/>
  <cols>
    <col min="1" max="1" width="10.42578125" bestFit="1" customWidth="1"/>
    <col min="2" max="2" width="10.140625" customWidth="1"/>
    <col min="4" max="4" width="13.5703125" customWidth="1"/>
    <col min="5" max="5" width="24.42578125" bestFit="1" customWidth="1"/>
    <col min="10" max="10" width="10.42578125" bestFit="1" customWidth="1"/>
  </cols>
  <sheetData>
    <row r="1" spans="1:7" x14ac:dyDescent="0.25">
      <c r="C1" s="78" t="s">
        <v>839</v>
      </c>
      <c r="D1" s="78"/>
      <c r="E1" s="78"/>
    </row>
    <row r="2" spans="1:7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86</v>
      </c>
      <c r="G2" t="s">
        <v>87</v>
      </c>
    </row>
    <row r="3" spans="1:7" x14ac:dyDescent="0.25">
      <c r="A3" s="40"/>
      <c r="B3" s="41"/>
      <c r="C3" s="41"/>
      <c r="D3" s="42" t="s">
        <v>836</v>
      </c>
      <c r="E3" s="41"/>
      <c r="F3" s="41"/>
      <c r="G3" s="41"/>
    </row>
    <row r="4" spans="1:7" x14ac:dyDescent="0.25">
      <c r="A4" s="31">
        <v>45883</v>
      </c>
      <c r="B4" s="32" t="s">
        <v>89</v>
      </c>
      <c r="C4" s="32" t="s">
        <v>787</v>
      </c>
      <c r="D4" s="32">
        <v>1544086</v>
      </c>
      <c r="E4" s="32" t="s">
        <v>786</v>
      </c>
      <c r="F4" s="32">
        <v>20000</v>
      </c>
      <c r="G4" s="32"/>
    </row>
    <row r="5" spans="1:7" x14ac:dyDescent="0.25">
      <c r="A5" s="31">
        <v>45916</v>
      </c>
      <c r="B5" s="32" t="s">
        <v>224</v>
      </c>
      <c r="C5" s="32" t="s">
        <v>787</v>
      </c>
      <c r="D5" s="32">
        <v>1544130</v>
      </c>
      <c r="E5" s="32" t="s">
        <v>786</v>
      </c>
      <c r="F5" s="32">
        <v>20000</v>
      </c>
      <c r="G5" s="32"/>
    </row>
    <row r="6" spans="1:7" x14ac:dyDescent="0.25">
      <c r="A6" s="31">
        <v>45953</v>
      </c>
      <c r="B6" s="32" t="s">
        <v>383</v>
      </c>
      <c r="C6" s="32" t="s">
        <v>787</v>
      </c>
      <c r="D6" s="32">
        <v>1544182</v>
      </c>
      <c r="E6" s="32" t="s">
        <v>786</v>
      </c>
      <c r="F6" s="32">
        <v>20000</v>
      </c>
      <c r="G6" s="32"/>
    </row>
    <row r="7" spans="1:7" x14ac:dyDescent="0.25">
      <c r="A7" s="31">
        <v>45976</v>
      </c>
      <c r="B7" s="32" t="s">
        <v>474</v>
      </c>
      <c r="C7" s="32" t="s">
        <v>787</v>
      </c>
      <c r="D7" s="32">
        <v>1544215</v>
      </c>
      <c r="E7" s="32" t="s">
        <v>786</v>
      </c>
      <c r="F7" s="32">
        <v>20000</v>
      </c>
      <c r="G7" s="32"/>
    </row>
    <row r="8" spans="1:7" x14ac:dyDescent="0.25">
      <c r="A8" s="31">
        <v>46006</v>
      </c>
      <c r="B8" s="32" t="s">
        <v>581</v>
      </c>
      <c r="C8" s="32" t="s">
        <v>787</v>
      </c>
      <c r="D8" s="32">
        <v>1568115</v>
      </c>
      <c r="E8" s="32" t="s">
        <v>786</v>
      </c>
      <c r="F8" s="32">
        <v>20000</v>
      </c>
      <c r="G8" s="32"/>
    </row>
    <row r="9" spans="1:7" x14ac:dyDescent="0.25">
      <c r="A9" s="31">
        <v>46031</v>
      </c>
      <c r="B9" s="32" t="s">
        <v>815</v>
      </c>
      <c r="C9" s="32" t="s">
        <v>787</v>
      </c>
      <c r="D9" s="32">
        <v>1568825</v>
      </c>
      <c r="E9" s="32" t="s">
        <v>786</v>
      </c>
      <c r="F9" s="32">
        <v>20000</v>
      </c>
      <c r="G9" s="32"/>
    </row>
    <row r="10" spans="1:7" x14ac:dyDescent="0.25">
      <c r="A10" s="29"/>
      <c r="B10" s="30"/>
      <c r="C10" s="30"/>
      <c r="D10" s="30"/>
      <c r="E10" s="36" t="s">
        <v>21</v>
      </c>
      <c r="F10" s="36">
        <f>SUM(F4:F9)</f>
        <v>120000</v>
      </c>
      <c r="G10" s="30"/>
    </row>
    <row r="11" spans="1:7" x14ac:dyDescent="0.25">
      <c r="A11" s="40"/>
      <c r="B11" s="41"/>
      <c r="C11" s="41"/>
      <c r="D11" s="42" t="s">
        <v>837</v>
      </c>
      <c r="E11" s="41"/>
      <c r="F11" s="41"/>
      <c r="G11" s="41"/>
    </row>
    <row r="12" spans="1:7" x14ac:dyDescent="0.25">
      <c r="A12" s="31">
        <v>45999</v>
      </c>
      <c r="B12" s="32" t="s">
        <v>581</v>
      </c>
      <c r="C12" s="32" t="s">
        <v>787</v>
      </c>
      <c r="D12" s="32">
        <v>1568106</v>
      </c>
      <c r="E12" s="32" t="s">
        <v>786</v>
      </c>
      <c r="F12" s="32">
        <v>300000</v>
      </c>
      <c r="G12" s="32"/>
    </row>
    <row r="13" spans="1:7" x14ac:dyDescent="0.25">
      <c r="A13" s="40"/>
      <c r="B13" s="41"/>
      <c r="C13" s="41"/>
      <c r="D13" s="42" t="s">
        <v>838</v>
      </c>
      <c r="E13" s="41"/>
      <c r="F13" s="41"/>
      <c r="G13" s="41"/>
    </row>
    <row r="14" spans="1:7" x14ac:dyDescent="0.25">
      <c r="A14" s="31">
        <v>46015</v>
      </c>
      <c r="B14" s="32" t="s">
        <v>581</v>
      </c>
      <c r="C14" s="32" t="s">
        <v>787</v>
      </c>
      <c r="D14" s="32" t="s">
        <v>835</v>
      </c>
      <c r="E14" s="32" t="s">
        <v>786</v>
      </c>
      <c r="F14" s="32"/>
      <c r="G14" s="32">
        <v>890000</v>
      </c>
    </row>
    <row r="15" spans="1:7" x14ac:dyDescent="0.25">
      <c r="A15" s="31">
        <v>46034</v>
      </c>
      <c r="B15" s="32" t="s">
        <v>815</v>
      </c>
      <c r="C15" s="32" t="s">
        <v>787</v>
      </c>
      <c r="D15" s="32">
        <v>1568830</v>
      </c>
      <c r="E15" s="32" t="s">
        <v>786</v>
      </c>
      <c r="F15" s="32">
        <v>350000</v>
      </c>
      <c r="G15" s="32"/>
    </row>
    <row r="16" spans="1:7" x14ac:dyDescent="0.25">
      <c r="A16" s="31">
        <v>46035</v>
      </c>
      <c r="B16" s="32" t="s">
        <v>815</v>
      </c>
      <c r="C16" s="32" t="s">
        <v>787</v>
      </c>
      <c r="D16" s="32">
        <v>1568832</v>
      </c>
      <c r="E16" s="32" t="s">
        <v>786</v>
      </c>
      <c r="F16" s="32">
        <v>335000</v>
      </c>
      <c r="G16" s="32"/>
    </row>
    <row r="17" spans="1:7" x14ac:dyDescent="0.25">
      <c r="A17" s="29"/>
      <c r="B17" s="30"/>
      <c r="C17" s="30"/>
      <c r="D17" s="30"/>
      <c r="E17" s="36" t="s">
        <v>21</v>
      </c>
      <c r="F17" s="36">
        <f>SUM(F14:F16)</f>
        <v>685000</v>
      </c>
      <c r="G17" s="36">
        <f>SUM(G14:G16)</f>
        <v>890000</v>
      </c>
    </row>
    <row r="18" spans="1:7" ht="15.75" thickBot="1" x14ac:dyDescent="0.3">
      <c r="A18" s="26" t="s">
        <v>80</v>
      </c>
      <c r="B18" s="27" t="s">
        <v>81</v>
      </c>
      <c r="C18" s="27" t="s">
        <v>82</v>
      </c>
      <c r="D18" s="27" t="s">
        <v>83</v>
      </c>
      <c r="E18" s="27" t="s">
        <v>84</v>
      </c>
      <c r="F18" s="27" t="s">
        <v>86</v>
      </c>
      <c r="G18" s="28" t="s">
        <v>87</v>
      </c>
    </row>
    <row r="19" spans="1:7" ht="15.75" thickTop="1" x14ac:dyDescent="0.25">
      <c r="A19" s="29">
        <v>45871</v>
      </c>
      <c r="B19" s="30" t="s">
        <v>89</v>
      </c>
      <c r="C19" s="30" t="s">
        <v>787</v>
      </c>
      <c r="D19" s="30">
        <v>1544060</v>
      </c>
      <c r="E19" s="30" t="s">
        <v>763</v>
      </c>
      <c r="F19" s="30">
        <v>113000</v>
      </c>
      <c r="G19" s="30"/>
    </row>
    <row r="20" spans="1:7" x14ac:dyDescent="0.25">
      <c r="A20" s="29">
        <v>45902</v>
      </c>
      <c r="B20" s="30" t="s">
        <v>224</v>
      </c>
      <c r="C20" s="30" t="s">
        <v>787</v>
      </c>
      <c r="D20" s="30">
        <v>1544108</v>
      </c>
      <c r="E20" s="30" t="s">
        <v>763</v>
      </c>
      <c r="F20" s="30">
        <v>113000</v>
      </c>
      <c r="G20" s="30"/>
    </row>
    <row r="21" spans="1:7" x14ac:dyDescent="0.25">
      <c r="A21" s="29">
        <v>45933</v>
      </c>
      <c r="B21" s="30" t="s">
        <v>383</v>
      </c>
      <c r="C21" s="30" t="s">
        <v>787</v>
      </c>
      <c r="D21" s="30">
        <v>1544156</v>
      </c>
      <c r="E21" s="30" t="s">
        <v>763</v>
      </c>
      <c r="F21" s="30">
        <v>113000</v>
      </c>
      <c r="G21" s="30"/>
    </row>
    <row r="22" spans="1:7" x14ac:dyDescent="0.25">
      <c r="A22" s="29">
        <v>45964</v>
      </c>
      <c r="B22" s="30" t="s">
        <v>474</v>
      </c>
      <c r="C22" s="30" t="s">
        <v>787</v>
      </c>
      <c r="D22" s="30">
        <v>1544193</v>
      </c>
      <c r="E22" s="30" t="s">
        <v>763</v>
      </c>
      <c r="F22" s="30">
        <v>113000</v>
      </c>
      <c r="G22" s="30"/>
    </row>
    <row r="23" spans="1:7" x14ac:dyDescent="0.25">
      <c r="A23" s="29">
        <v>45994</v>
      </c>
      <c r="B23" s="30" t="s">
        <v>581</v>
      </c>
      <c r="C23" s="30" t="s">
        <v>787</v>
      </c>
      <c r="D23" s="30">
        <v>1568091</v>
      </c>
      <c r="E23" s="30" t="s">
        <v>763</v>
      </c>
      <c r="F23" s="30">
        <v>113000</v>
      </c>
      <c r="G23" s="30"/>
    </row>
    <row r="24" spans="1:7" x14ac:dyDescent="0.25">
      <c r="A24" s="29">
        <v>46024</v>
      </c>
      <c r="B24" s="30" t="s">
        <v>815</v>
      </c>
      <c r="C24" s="30" t="s">
        <v>787</v>
      </c>
      <c r="D24" s="30">
        <v>1568810</v>
      </c>
      <c r="E24" s="30" t="s">
        <v>763</v>
      </c>
      <c r="F24" s="30">
        <v>113000</v>
      </c>
      <c r="G24" s="30"/>
    </row>
    <row r="25" spans="1:7" x14ac:dyDescent="0.25">
      <c r="A25" s="29"/>
      <c r="B25" s="30"/>
      <c r="C25" s="30"/>
      <c r="D25" s="30"/>
      <c r="E25" s="36" t="s">
        <v>21</v>
      </c>
      <c r="F25" s="36">
        <f>SUM(F19:F24)</f>
        <v>678000</v>
      </c>
      <c r="G25" s="30"/>
    </row>
    <row r="26" spans="1:7" ht="15.75" thickBot="1" x14ac:dyDescent="0.3">
      <c r="A26" s="26" t="s">
        <v>80</v>
      </c>
      <c r="B26" s="27" t="s">
        <v>81</v>
      </c>
      <c r="C26" s="27" t="s">
        <v>82</v>
      </c>
      <c r="D26" s="27" t="s">
        <v>83</v>
      </c>
      <c r="E26" s="27" t="s">
        <v>84</v>
      </c>
      <c r="F26" s="27" t="s">
        <v>86</v>
      </c>
      <c r="G26" s="28" t="s">
        <v>87</v>
      </c>
    </row>
    <row r="27" spans="1:7" ht="15.75" thickTop="1" x14ac:dyDescent="0.25">
      <c r="A27" s="29">
        <v>45874</v>
      </c>
      <c r="B27" s="30" t="s">
        <v>89</v>
      </c>
      <c r="C27" s="30" t="s">
        <v>787</v>
      </c>
      <c r="D27" s="30">
        <v>1544063</v>
      </c>
      <c r="E27" s="30" t="s">
        <v>790</v>
      </c>
      <c r="F27" s="30">
        <v>100000</v>
      </c>
      <c r="G27" s="30"/>
    </row>
    <row r="28" spans="1:7" x14ac:dyDescent="0.25">
      <c r="A28" s="29">
        <v>45904</v>
      </c>
      <c r="B28" s="30" t="s">
        <v>224</v>
      </c>
      <c r="C28" s="30" t="s">
        <v>787</v>
      </c>
      <c r="D28" s="30">
        <v>1544113</v>
      </c>
      <c r="E28" s="30" t="s">
        <v>790</v>
      </c>
      <c r="F28" s="30">
        <v>100000</v>
      </c>
      <c r="G28" s="30"/>
    </row>
    <row r="29" spans="1:7" x14ac:dyDescent="0.25">
      <c r="A29" s="29">
        <v>45940</v>
      </c>
      <c r="B29" s="30" t="s">
        <v>383</v>
      </c>
      <c r="C29" s="30" t="s">
        <v>787</v>
      </c>
      <c r="D29" s="30">
        <v>1544173</v>
      </c>
      <c r="E29" s="30" t="s">
        <v>790</v>
      </c>
      <c r="F29" s="30">
        <v>100000</v>
      </c>
      <c r="G29" s="30"/>
    </row>
    <row r="30" spans="1:7" x14ac:dyDescent="0.25">
      <c r="A30" s="29">
        <v>45971</v>
      </c>
      <c r="B30" s="30" t="s">
        <v>474</v>
      </c>
      <c r="C30" s="30" t="s">
        <v>787</v>
      </c>
      <c r="D30" s="30">
        <v>1544205</v>
      </c>
      <c r="E30" s="30" t="s">
        <v>790</v>
      </c>
      <c r="F30" s="30">
        <v>100000</v>
      </c>
      <c r="G30" s="30"/>
    </row>
    <row r="31" spans="1:7" x14ac:dyDescent="0.25">
      <c r="A31" s="29">
        <v>45997</v>
      </c>
      <c r="B31" s="30" t="s">
        <v>581</v>
      </c>
      <c r="C31" s="30" t="s">
        <v>787</v>
      </c>
      <c r="D31" s="30">
        <v>1568100</v>
      </c>
      <c r="E31" s="30" t="s">
        <v>790</v>
      </c>
      <c r="F31" s="30">
        <v>100000</v>
      </c>
      <c r="G31" s="30"/>
    </row>
    <row r="32" spans="1:7" x14ac:dyDescent="0.25">
      <c r="A32" s="29">
        <v>46031</v>
      </c>
      <c r="B32" s="30" t="s">
        <v>815</v>
      </c>
      <c r="C32" s="30" t="s">
        <v>787</v>
      </c>
      <c r="D32" s="30">
        <v>1568823</v>
      </c>
      <c r="E32" s="30" t="s">
        <v>790</v>
      </c>
      <c r="F32" s="30">
        <v>100000</v>
      </c>
      <c r="G32" s="30"/>
    </row>
    <row r="33" spans="1:7" x14ac:dyDescent="0.25">
      <c r="A33" s="29"/>
      <c r="B33" s="30"/>
      <c r="C33" s="30"/>
      <c r="D33" s="30"/>
      <c r="E33" s="36" t="s">
        <v>21</v>
      </c>
      <c r="F33" s="36">
        <f>SUM(F27:F32)</f>
        <v>600000</v>
      </c>
      <c r="G33" s="30"/>
    </row>
    <row r="34" spans="1:7" x14ac:dyDescent="0.25">
      <c r="A34" s="29"/>
      <c r="B34" s="30"/>
      <c r="C34" s="30"/>
      <c r="D34" s="30"/>
      <c r="E34" s="30"/>
      <c r="F34" s="30"/>
      <c r="G34" s="30"/>
    </row>
    <row r="35" spans="1:7" x14ac:dyDescent="0.25">
      <c r="A35" s="29"/>
      <c r="B35" s="30"/>
      <c r="C35" s="30"/>
      <c r="D35" s="30"/>
      <c r="E35" s="30"/>
      <c r="F35" s="30"/>
      <c r="G35" s="30"/>
    </row>
    <row r="36" spans="1:7" x14ac:dyDescent="0.25">
      <c r="A36" s="29"/>
      <c r="B36" s="30"/>
      <c r="C36" s="30"/>
      <c r="D36" s="30"/>
      <c r="E36" s="30"/>
      <c r="F36" s="30"/>
      <c r="G36" s="30"/>
    </row>
    <row r="37" spans="1:7" x14ac:dyDescent="0.25">
      <c r="A37" s="34"/>
      <c r="B37" s="35"/>
      <c r="C37" s="35"/>
      <c r="D37" s="35"/>
      <c r="E37" s="35"/>
      <c r="F37" s="35"/>
      <c r="G37" s="35"/>
    </row>
    <row r="46" spans="1:7" ht="15.75" thickBot="1" x14ac:dyDescent="0.3"/>
    <row r="47" spans="1:7" ht="15.75" thickBot="1" x14ac:dyDescent="0.3">
      <c r="C47" s="93" t="s">
        <v>869</v>
      </c>
      <c r="D47" s="94"/>
      <c r="E47" s="95"/>
    </row>
    <row r="48" spans="1:7" x14ac:dyDescent="0.25">
      <c r="A48" t="s">
        <v>80</v>
      </c>
      <c r="B48" t="s">
        <v>81</v>
      </c>
      <c r="C48" t="s">
        <v>82</v>
      </c>
      <c r="D48" t="s">
        <v>83</v>
      </c>
      <c r="E48" t="s">
        <v>84</v>
      </c>
      <c r="F48" t="s">
        <v>86</v>
      </c>
      <c r="G48" t="s">
        <v>87</v>
      </c>
    </row>
    <row r="49" spans="1:7" x14ac:dyDescent="0.25">
      <c r="A49" s="29">
        <v>45881</v>
      </c>
      <c r="B49" s="30" t="s">
        <v>89</v>
      </c>
      <c r="C49" s="30" t="s">
        <v>787</v>
      </c>
      <c r="D49" s="30"/>
      <c r="E49" s="30" t="s">
        <v>875</v>
      </c>
      <c r="F49" s="30">
        <v>1250000</v>
      </c>
      <c r="G49" s="30"/>
    </row>
    <row r="50" spans="1:7" x14ac:dyDescent="0.25">
      <c r="A50" s="29"/>
      <c r="B50" s="30" t="s">
        <v>224</v>
      </c>
      <c r="C50" s="30"/>
      <c r="D50" s="30"/>
      <c r="E50" s="30"/>
      <c r="F50" s="98"/>
      <c r="G50" s="30"/>
    </row>
    <row r="51" spans="1:7" x14ac:dyDescent="0.25">
      <c r="A51" s="29"/>
      <c r="B51" s="30" t="s">
        <v>383</v>
      </c>
      <c r="C51" s="30"/>
      <c r="D51" s="30"/>
      <c r="E51" s="30"/>
      <c r="F51" s="98"/>
      <c r="G51" s="30"/>
    </row>
    <row r="52" spans="1:7" x14ac:dyDescent="0.25">
      <c r="A52" s="29"/>
      <c r="B52" s="30" t="s">
        <v>474</v>
      </c>
      <c r="C52" s="30"/>
      <c r="D52" s="30"/>
      <c r="E52" s="30"/>
      <c r="F52" s="98"/>
      <c r="G52" s="30"/>
    </row>
    <row r="53" spans="1:7" x14ac:dyDescent="0.25">
      <c r="A53" s="29"/>
      <c r="B53" s="30" t="s">
        <v>581</v>
      </c>
      <c r="C53" s="30"/>
      <c r="D53" s="30"/>
      <c r="E53" s="30"/>
      <c r="F53" s="98"/>
      <c r="G53" s="30"/>
    </row>
    <row r="54" spans="1:7" x14ac:dyDescent="0.25">
      <c r="A54" s="29"/>
      <c r="B54" s="30" t="s">
        <v>871</v>
      </c>
      <c r="C54" s="30"/>
      <c r="D54" s="30"/>
      <c r="E54" s="30"/>
      <c r="F54" s="98"/>
      <c r="G54" s="30"/>
    </row>
    <row r="55" spans="1:7" x14ac:dyDescent="0.25">
      <c r="A55" s="29"/>
      <c r="B55" s="30"/>
      <c r="C55" s="30"/>
      <c r="D55" s="30"/>
      <c r="E55" s="30"/>
      <c r="F55" s="30"/>
      <c r="G55" s="30"/>
    </row>
    <row r="56" spans="1:7" ht="15.75" thickBot="1" x14ac:dyDescent="0.3">
      <c r="A56" s="26" t="s">
        <v>80</v>
      </c>
      <c r="B56" s="27" t="s">
        <v>81</v>
      </c>
      <c r="C56" s="27" t="s">
        <v>82</v>
      </c>
      <c r="D56" s="27" t="s">
        <v>83</v>
      </c>
      <c r="E56" s="27" t="s">
        <v>84</v>
      </c>
      <c r="F56" s="27" t="s">
        <v>86</v>
      </c>
      <c r="G56" s="28" t="s">
        <v>87</v>
      </c>
    </row>
    <row r="57" spans="1:7" ht="15.75" thickTop="1" x14ac:dyDescent="0.25">
      <c r="A57" s="29">
        <v>45881</v>
      </c>
      <c r="B57" s="30" t="s">
        <v>89</v>
      </c>
      <c r="C57" s="30" t="s">
        <v>787</v>
      </c>
      <c r="D57" s="30"/>
      <c r="E57" s="30" t="s">
        <v>876</v>
      </c>
      <c r="F57" s="30">
        <v>1250000</v>
      </c>
      <c r="G57" s="30"/>
    </row>
    <row r="58" spans="1:7" x14ac:dyDescent="0.25">
      <c r="A58" s="29"/>
      <c r="B58" s="30" t="s">
        <v>224</v>
      </c>
      <c r="C58" s="30"/>
      <c r="D58" s="30"/>
      <c r="E58" s="30"/>
      <c r="F58" s="98"/>
      <c r="G58" s="30"/>
    </row>
    <row r="59" spans="1:7" x14ac:dyDescent="0.25">
      <c r="A59" s="29"/>
      <c r="B59" s="30" t="s">
        <v>383</v>
      </c>
      <c r="C59" s="30"/>
      <c r="D59" s="30"/>
      <c r="E59" s="30"/>
      <c r="F59" s="98"/>
      <c r="G59" s="30"/>
    </row>
    <row r="60" spans="1:7" x14ac:dyDescent="0.25">
      <c r="A60" s="29"/>
      <c r="B60" s="30" t="s">
        <v>474</v>
      </c>
      <c r="C60" s="30"/>
      <c r="D60" s="30"/>
      <c r="E60" s="30"/>
      <c r="F60" s="98"/>
      <c r="G60" s="30"/>
    </row>
    <row r="61" spans="1:7" x14ac:dyDescent="0.25">
      <c r="A61" s="29"/>
      <c r="B61" s="30" t="s">
        <v>581</v>
      </c>
      <c r="C61" s="30"/>
      <c r="D61" s="30"/>
      <c r="E61" s="30"/>
      <c r="F61" s="98"/>
      <c r="G61" s="30"/>
    </row>
    <row r="62" spans="1:7" x14ac:dyDescent="0.25">
      <c r="A62" s="29"/>
      <c r="B62" s="30" t="s">
        <v>871</v>
      </c>
      <c r="C62" s="30"/>
      <c r="D62" s="30"/>
      <c r="E62" s="30"/>
      <c r="F62" s="98"/>
      <c r="G62" s="30"/>
    </row>
    <row r="63" spans="1:7" x14ac:dyDescent="0.25">
      <c r="A63" s="29"/>
      <c r="B63" s="30"/>
      <c r="C63" s="30"/>
      <c r="D63" s="30"/>
      <c r="E63" s="30"/>
      <c r="F63" s="30"/>
      <c r="G63" s="30"/>
    </row>
    <row r="64" spans="1:7" ht="15.75" thickBot="1" x14ac:dyDescent="0.3">
      <c r="A64" s="26" t="s">
        <v>80</v>
      </c>
      <c r="B64" s="27" t="s">
        <v>81</v>
      </c>
      <c r="C64" s="27" t="s">
        <v>82</v>
      </c>
      <c r="D64" s="27" t="s">
        <v>83</v>
      </c>
      <c r="E64" s="27" t="s">
        <v>84</v>
      </c>
      <c r="F64" s="27" t="s">
        <v>86</v>
      </c>
      <c r="G64" s="28" t="s">
        <v>87</v>
      </c>
    </row>
    <row r="65" spans="1:7" ht="15.75" thickTop="1" x14ac:dyDescent="0.25">
      <c r="A65" s="29">
        <v>45890</v>
      </c>
      <c r="B65" s="30" t="s">
        <v>89</v>
      </c>
      <c r="C65" s="30" t="s">
        <v>787</v>
      </c>
      <c r="D65" s="30"/>
      <c r="E65" s="30" t="s">
        <v>877</v>
      </c>
      <c r="F65" s="30"/>
      <c r="G65" s="30">
        <v>4400000</v>
      </c>
    </row>
    <row r="66" spans="1:7" x14ac:dyDescent="0.25">
      <c r="A66" s="29">
        <v>45890</v>
      </c>
      <c r="B66" s="30" t="s">
        <v>89</v>
      </c>
      <c r="C66" s="30" t="s">
        <v>787</v>
      </c>
      <c r="D66" s="30"/>
      <c r="E66" s="30" t="s">
        <v>877</v>
      </c>
      <c r="F66" s="30"/>
      <c r="G66" s="30">
        <v>10000000</v>
      </c>
    </row>
    <row r="67" spans="1:7" x14ac:dyDescent="0.25">
      <c r="A67" s="99">
        <v>45890</v>
      </c>
      <c r="B67" s="100" t="s">
        <v>89</v>
      </c>
      <c r="C67" s="100" t="s">
        <v>787</v>
      </c>
      <c r="D67" s="100"/>
      <c r="E67" s="100" t="s">
        <v>878</v>
      </c>
      <c r="F67" s="100"/>
      <c r="G67" s="100">
        <v>3600000</v>
      </c>
    </row>
    <row r="68" spans="1:7" x14ac:dyDescent="0.25">
      <c r="A68" s="29">
        <v>46036</v>
      </c>
      <c r="B68" s="30" t="s">
        <v>871</v>
      </c>
      <c r="C68" s="30" t="s">
        <v>787</v>
      </c>
      <c r="D68" s="30"/>
      <c r="E68" s="30" t="s">
        <v>877</v>
      </c>
      <c r="F68" s="30">
        <v>8000000</v>
      </c>
      <c r="G68" s="30"/>
    </row>
    <row r="69" spans="1:7" x14ac:dyDescent="0.25">
      <c r="A69" s="29"/>
      <c r="B69" s="30"/>
      <c r="C69" s="30"/>
      <c r="D69" s="30"/>
      <c r="E69" s="97" t="s">
        <v>21</v>
      </c>
      <c r="F69" s="97">
        <f>SUM(F65:F68)</f>
        <v>8000000</v>
      </c>
      <c r="G69" s="97">
        <f>SUM(G65:G68)</f>
        <v>18000000</v>
      </c>
    </row>
    <row r="70" spans="1:7" ht="15.75" thickBot="1" x14ac:dyDescent="0.3">
      <c r="A70" s="26" t="s">
        <v>80</v>
      </c>
      <c r="B70" s="27" t="s">
        <v>81</v>
      </c>
      <c r="C70" s="27" t="s">
        <v>82</v>
      </c>
      <c r="D70" s="27" t="s">
        <v>83</v>
      </c>
      <c r="E70" s="27" t="s">
        <v>84</v>
      </c>
      <c r="F70" s="27" t="s">
        <v>86</v>
      </c>
      <c r="G70" s="28" t="s">
        <v>87</v>
      </c>
    </row>
    <row r="71" spans="1:7" ht="15.75" thickTop="1" x14ac:dyDescent="0.25">
      <c r="A71" s="29"/>
      <c r="B71" s="30" t="s">
        <v>89</v>
      </c>
      <c r="C71" s="30"/>
      <c r="D71" s="30"/>
      <c r="E71" s="30"/>
      <c r="F71" s="98"/>
      <c r="G71" s="30"/>
    </row>
    <row r="72" spans="1:7" x14ac:dyDescent="0.25">
      <c r="A72" s="29"/>
      <c r="B72" s="30" t="s">
        <v>224</v>
      </c>
      <c r="C72" s="30"/>
      <c r="D72" s="30"/>
      <c r="E72" s="30"/>
      <c r="F72" s="98"/>
      <c r="G72" s="30"/>
    </row>
    <row r="73" spans="1:7" x14ac:dyDescent="0.25">
      <c r="A73" s="29"/>
      <c r="B73" s="30" t="s">
        <v>383</v>
      </c>
      <c r="C73" s="30"/>
      <c r="D73" s="30"/>
      <c r="E73" s="30"/>
      <c r="F73" s="98"/>
      <c r="G73" s="30"/>
    </row>
    <row r="74" spans="1:7" x14ac:dyDescent="0.25">
      <c r="A74" s="29">
        <v>45967</v>
      </c>
      <c r="B74" s="30" t="s">
        <v>474</v>
      </c>
      <c r="C74" s="30" t="s">
        <v>787</v>
      </c>
      <c r="D74" s="30"/>
      <c r="E74" s="30" t="s">
        <v>879</v>
      </c>
      <c r="F74" s="30">
        <v>2500000</v>
      </c>
      <c r="G74" s="30"/>
    </row>
    <row r="75" spans="1:7" x14ac:dyDescent="0.25">
      <c r="A75" s="29">
        <v>45996</v>
      </c>
      <c r="B75" s="30" t="s">
        <v>581</v>
      </c>
      <c r="C75" s="30" t="s">
        <v>787</v>
      </c>
      <c r="D75" s="30"/>
      <c r="E75" s="30" t="s">
        <v>879</v>
      </c>
      <c r="F75" s="30">
        <v>2500000</v>
      </c>
      <c r="G75" s="30"/>
    </row>
    <row r="76" spans="1:7" x14ac:dyDescent="0.25">
      <c r="A76" s="29">
        <v>46027</v>
      </c>
      <c r="B76" s="30" t="s">
        <v>871</v>
      </c>
      <c r="C76" s="30" t="s">
        <v>787</v>
      </c>
      <c r="D76" s="30"/>
      <c r="E76" s="30" t="s">
        <v>879</v>
      </c>
      <c r="F76" s="30">
        <v>2500000</v>
      </c>
      <c r="G76" s="30"/>
    </row>
    <row r="77" spans="1:7" x14ac:dyDescent="0.25">
      <c r="A77" s="29"/>
      <c r="B77" s="30"/>
      <c r="C77" s="30"/>
      <c r="D77" s="30"/>
      <c r="E77" s="97" t="s">
        <v>21</v>
      </c>
      <c r="F77" s="97">
        <f>SUM(F71:F76)</f>
        <v>7500000</v>
      </c>
      <c r="G77" s="30"/>
    </row>
    <row r="78" spans="1:7" ht="15.75" thickBot="1" x14ac:dyDescent="0.3">
      <c r="A78" s="26" t="s">
        <v>80</v>
      </c>
      <c r="B78" s="27" t="s">
        <v>81</v>
      </c>
      <c r="C78" s="27" t="s">
        <v>82</v>
      </c>
      <c r="D78" s="27" t="s">
        <v>83</v>
      </c>
      <c r="E78" s="27" t="s">
        <v>84</v>
      </c>
      <c r="F78" s="27" t="s">
        <v>86</v>
      </c>
      <c r="G78" s="28" t="s">
        <v>87</v>
      </c>
    </row>
    <row r="79" spans="1:7" ht="15.75" thickTop="1" x14ac:dyDescent="0.25">
      <c r="A79" s="29">
        <v>46009</v>
      </c>
      <c r="B79" s="30" t="s">
        <v>581</v>
      </c>
      <c r="C79" s="30" t="s">
        <v>787</v>
      </c>
      <c r="D79" s="30"/>
      <c r="E79" s="30" t="s">
        <v>880</v>
      </c>
      <c r="F79" s="30"/>
      <c r="G79" s="30">
        <v>495000</v>
      </c>
    </row>
    <row r="80" spans="1:7" x14ac:dyDescent="0.25">
      <c r="A80" s="29">
        <v>46009</v>
      </c>
      <c r="B80" s="30" t="s">
        <v>581</v>
      </c>
      <c r="C80" s="30" t="s">
        <v>787</v>
      </c>
      <c r="D80" s="30"/>
      <c r="E80" s="30" t="s">
        <v>880</v>
      </c>
      <c r="F80" s="30"/>
      <c r="G80" s="30">
        <v>495000</v>
      </c>
    </row>
    <row r="81" spans="1:7" x14ac:dyDescent="0.25">
      <c r="A81" s="29"/>
      <c r="B81" s="30" t="s">
        <v>871</v>
      </c>
      <c r="C81" s="30"/>
      <c r="D81" s="30"/>
      <c r="E81" s="30"/>
      <c r="F81" s="98"/>
      <c r="G81" s="30"/>
    </row>
    <row r="82" spans="1:7" x14ac:dyDescent="0.25">
      <c r="A82" s="29"/>
      <c r="B82" s="30"/>
      <c r="C82" s="30"/>
      <c r="D82" s="30"/>
      <c r="E82" s="97" t="s">
        <v>21</v>
      </c>
      <c r="F82" s="97"/>
      <c r="G82" s="97">
        <f>SUM(G79:G80)</f>
        <v>990000</v>
      </c>
    </row>
  </sheetData>
  <mergeCells count="2">
    <mergeCell ref="C1:E1"/>
    <mergeCell ref="C47:E47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L17" sqref="L17"/>
    </sheetView>
  </sheetViews>
  <sheetFormatPr defaultRowHeight="15" x14ac:dyDescent="0.25"/>
  <cols>
    <col min="1" max="1" width="10.42578125" bestFit="1" customWidth="1"/>
    <col min="2" max="2" width="10.140625" customWidth="1"/>
    <col min="4" max="4" width="13.5703125" customWidth="1"/>
    <col min="5" max="5" width="23.7109375" bestFit="1" customWidth="1"/>
  </cols>
  <sheetData>
    <row r="1" spans="1:7" x14ac:dyDescent="0.25">
      <c r="C1" s="78" t="s">
        <v>839</v>
      </c>
      <c r="D1" s="78"/>
      <c r="E1" s="78"/>
    </row>
    <row r="2" spans="1:7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86</v>
      </c>
      <c r="G2" t="s">
        <v>87</v>
      </c>
    </row>
    <row r="3" spans="1:7" x14ac:dyDescent="0.25">
      <c r="A3" s="29">
        <v>45940</v>
      </c>
      <c r="B3" s="30" t="s">
        <v>383</v>
      </c>
      <c r="C3" s="30" t="s">
        <v>747</v>
      </c>
      <c r="D3" s="30"/>
      <c r="E3" s="30" t="s">
        <v>834</v>
      </c>
      <c r="F3" s="30"/>
      <c r="G3" s="30">
        <v>409422</v>
      </c>
    </row>
    <row r="11" spans="1:7" ht="15.75" thickBot="1" x14ac:dyDescent="0.3"/>
    <row r="12" spans="1:7" ht="15.75" thickBot="1" x14ac:dyDescent="0.3">
      <c r="C12" s="93" t="s">
        <v>869</v>
      </c>
      <c r="D12" s="94"/>
      <c r="E12" s="95"/>
    </row>
    <row r="13" spans="1:7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86</v>
      </c>
      <c r="G13" t="s">
        <v>87</v>
      </c>
    </row>
    <row r="14" spans="1:7" x14ac:dyDescent="0.25">
      <c r="A14" s="29">
        <v>45881</v>
      </c>
      <c r="B14" s="30" t="s">
        <v>89</v>
      </c>
      <c r="C14" s="30" t="s">
        <v>747</v>
      </c>
      <c r="D14" s="30"/>
      <c r="E14" s="30" t="s">
        <v>881</v>
      </c>
      <c r="F14" s="30">
        <v>2212.5</v>
      </c>
      <c r="G14" s="30"/>
    </row>
    <row r="15" spans="1:7" x14ac:dyDescent="0.25">
      <c r="A15" s="29">
        <v>45881</v>
      </c>
      <c r="B15" s="30" t="s">
        <v>89</v>
      </c>
      <c r="C15" s="30" t="s">
        <v>747</v>
      </c>
      <c r="D15" s="30"/>
      <c r="E15" s="30" t="s">
        <v>881</v>
      </c>
      <c r="F15" s="30">
        <v>2212.5</v>
      </c>
      <c r="G15" s="30"/>
    </row>
    <row r="16" spans="1:7" x14ac:dyDescent="0.25">
      <c r="A16" s="29">
        <v>45966</v>
      </c>
      <c r="B16" s="30" t="s">
        <v>474</v>
      </c>
      <c r="C16" s="30" t="s">
        <v>747</v>
      </c>
      <c r="D16" s="30"/>
      <c r="E16" s="30" t="s">
        <v>881</v>
      </c>
      <c r="F16" s="30">
        <v>4425</v>
      </c>
      <c r="G16" s="30"/>
    </row>
    <row r="17" spans="1:7" x14ac:dyDescent="0.25">
      <c r="A17" s="29">
        <v>46006</v>
      </c>
      <c r="B17" s="30" t="s">
        <v>581</v>
      </c>
      <c r="C17" s="30" t="s">
        <v>747</v>
      </c>
      <c r="D17" s="30"/>
      <c r="E17" s="30" t="s">
        <v>881</v>
      </c>
      <c r="F17" s="30">
        <v>3540</v>
      </c>
      <c r="G17" s="30"/>
    </row>
    <row r="18" spans="1:7" x14ac:dyDescent="0.25">
      <c r="A18" s="29">
        <v>46022</v>
      </c>
      <c r="B18" s="30" t="s">
        <v>581</v>
      </c>
      <c r="C18" s="30" t="s">
        <v>747</v>
      </c>
      <c r="D18" s="30"/>
      <c r="E18" s="30" t="s">
        <v>881</v>
      </c>
      <c r="F18" s="30">
        <v>885</v>
      </c>
      <c r="G18" s="30"/>
    </row>
  </sheetData>
  <mergeCells count="2">
    <mergeCell ref="C1:E1"/>
    <mergeCell ref="C12:E12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workbookViewId="0">
      <selection activeCell="U73" sqref="U73"/>
    </sheetView>
  </sheetViews>
  <sheetFormatPr defaultRowHeight="15" x14ac:dyDescent="0.25"/>
  <cols>
    <col min="1" max="1" width="12.7109375" bestFit="1" customWidth="1"/>
    <col min="2" max="2" width="27" bestFit="1" customWidth="1"/>
    <col min="3" max="16" width="9.85546875" customWidth="1"/>
    <col min="17" max="17" width="13.5703125" bestFit="1" customWidth="1"/>
    <col min="18" max="18" width="13.28515625" bestFit="1" customWidth="1"/>
  </cols>
  <sheetData>
    <row r="1" spans="1:18" x14ac:dyDescent="0.25">
      <c r="D1" s="79" t="s">
        <v>833</v>
      </c>
      <c r="E1" s="78"/>
      <c r="F1" s="78"/>
      <c r="G1" s="78"/>
      <c r="H1" s="78"/>
      <c r="I1" s="78"/>
      <c r="J1" s="78"/>
      <c r="K1" s="78"/>
      <c r="L1" s="78"/>
    </row>
    <row r="2" spans="1:18" x14ac:dyDescent="0.25">
      <c r="D2" s="78"/>
      <c r="E2" s="78"/>
      <c r="F2" s="78"/>
      <c r="G2" s="78"/>
      <c r="H2" s="78"/>
      <c r="I2" s="78"/>
      <c r="J2" s="78"/>
      <c r="K2" s="78"/>
      <c r="L2" s="78"/>
    </row>
    <row r="3" spans="1:18" x14ac:dyDescent="0.25">
      <c r="D3" s="78"/>
      <c r="E3" s="78"/>
      <c r="F3" s="78"/>
      <c r="G3" s="78"/>
      <c r="H3" s="78"/>
      <c r="I3" s="78"/>
      <c r="J3" s="78"/>
      <c r="K3" s="78"/>
      <c r="L3" s="78"/>
    </row>
    <row r="5" spans="1:18" x14ac:dyDescent="0.25">
      <c r="A5" s="80" t="s">
        <v>861</v>
      </c>
      <c r="B5" s="80"/>
    </row>
    <row r="6" spans="1:18" x14ac:dyDescent="0.25">
      <c r="A6" s="58"/>
      <c r="B6" s="58"/>
      <c r="C6" s="59" t="s">
        <v>81</v>
      </c>
      <c r="D6" s="59" t="s">
        <v>820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1:18" x14ac:dyDescent="0.25">
      <c r="A7" s="58"/>
      <c r="B7" s="58"/>
      <c r="C7" s="58" t="s">
        <v>89</v>
      </c>
      <c r="D7" s="58"/>
      <c r="E7" s="58" t="s">
        <v>224</v>
      </c>
      <c r="F7" s="58"/>
      <c r="G7" s="58" t="s">
        <v>383</v>
      </c>
      <c r="H7" s="58"/>
      <c r="I7" s="58" t="s">
        <v>474</v>
      </c>
      <c r="J7" s="58"/>
      <c r="K7" s="58" t="s">
        <v>581</v>
      </c>
      <c r="L7" s="58"/>
      <c r="M7" s="58" t="s">
        <v>815</v>
      </c>
      <c r="N7" s="58"/>
      <c r="O7" s="58" t="s">
        <v>813</v>
      </c>
      <c r="P7" s="58"/>
      <c r="Q7" s="58" t="s">
        <v>816</v>
      </c>
      <c r="R7" s="58" t="s">
        <v>818</v>
      </c>
    </row>
    <row r="8" spans="1:18" x14ac:dyDescent="0.25">
      <c r="A8" s="59" t="s">
        <v>82</v>
      </c>
      <c r="B8" s="59" t="s">
        <v>84</v>
      </c>
      <c r="C8" s="58" t="s">
        <v>817</v>
      </c>
      <c r="D8" s="58" t="s">
        <v>819</v>
      </c>
      <c r="E8" s="58" t="s">
        <v>817</v>
      </c>
      <c r="F8" s="58" t="s">
        <v>819</v>
      </c>
      <c r="G8" s="58" t="s">
        <v>817</v>
      </c>
      <c r="H8" s="58" t="s">
        <v>819</v>
      </c>
      <c r="I8" s="58" t="s">
        <v>817</v>
      </c>
      <c r="J8" s="58" t="s">
        <v>819</v>
      </c>
      <c r="K8" s="58" t="s">
        <v>817</v>
      </c>
      <c r="L8" s="58" t="s">
        <v>819</v>
      </c>
      <c r="M8" s="58" t="s">
        <v>817</v>
      </c>
      <c r="N8" s="58" t="s">
        <v>819</v>
      </c>
      <c r="O8" s="58" t="s">
        <v>817</v>
      </c>
      <c r="P8" s="58" t="s">
        <v>819</v>
      </c>
      <c r="Q8" s="58"/>
      <c r="R8" s="58"/>
    </row>
    <row r="9" spans="1:18" x14ac:dyDescent="0.25">
      <c r="A9" s="58" t="s">
        <v>140</v>
      </c>
      <c r="B9" s="60" t="s">
        <v>141</v>
      </c>
      <c r="C9" s="60">
        <v>2.25</v>
      </c>
      <c r="D9" s="60">
        <v>0</v>
      </c>
      <c r="E9" s="60">
        <v>6.5</v>
      </c>
      <c r="F9" s="60">
        <v>0</v>
      </c>
      <c r="G9" s="60">
        <v>0.5</v>
      </c>
      <c r="H9" s="60">
        <v>0</v>
      </c>
      <c r="I9" s="60">
        <v>5.8</v>
      </c>
      <c r="J9" s="60">
        <v>0</v>
      </c>
      <c r="K9" s="60">
        <v>4.5</v>
      </c>
      <c r="L9" s="60">
        <v>0</v>
      </c>
      <c r="M9" s="60"/>
      <c r="N9" s="60"/>
      <c r="O9" s="60"/>
      <c r="P9" s="60"/>
      <c r="Q9" s="60">
        <v>19.55</v>
      </c>
      <c r="R9" s="60">
        <v>0</v>
      </c>
    </row>
    <row r="10" spans="1:18" x14ac:dyDescent="0.25">
      <c r="A10" s="61" t="s">
        <v>821</v>
      </c>
      <c r="B10" s="61"/>
      <c r="C10" s="61">
        <v>2.25</v>
      </c>
      <c r="D10" s="61">
        <v>0</v>
      </c>
      <c r="E10" s="61">
        <v>6.5</v>
      </c>
      <c r="F10" s="61">
        <v>0</v>
      </c>
      <c r="G10" s="61">
        <v>0.5</v>
      </c>
      <c r="H10" s="61">
        <v>0</v>
      </c>
      <c r="I10" s="61">
        <v>5.8</v>
      </c>
      <c r="J10" s="61">
        <v>0</v>
      </c>
      <c r="K10" s="61">
        <v>4.5</v>
      </c>
      <c r="L10" s="61">
        <v>0</v>
      </c>
      <c r="M10" s="61"/>
      <c r="N10" s="61"/>
      <c r="O10" s="61"/>
      <c r="P10" s="61"/>
      <c r="Q10" s="61">
        <v>19.55</v>
      </c>
      <c r="R10" s="61">
        <v>0</v>
      </c>
    </row>
    <row r="11" spans="1:18" x14ac:dyDescent="0.25">
      <c r="A11" s="58" t="s">
        <v>91</v>
      </c>
      <c r="B11" s="62" t="s">
        <v>92</v>
      </c>
      <c r="C11" s="62">
        <v>96.7</v>
      </c>
      <c r="D11" s="62">
        <v>107.1</v>
      </c>
      <c r="E11" s="62">
        <v>56</v>
      </c>
      <c r="F11" s="62">
        <v>37.5</v>
      </c>
      <c r="G11" s="62">
        <v>4.3</v>
      </c>
      <c r="H11" s="62">
        <v>46.2</v>
      </c>
      <c r="I11" s="62">
        <v>28.849999999999998</v>
      </c>
      <c r="J11" s="62">
        <v>110.2</v>
      </c>
      <c r="K11" s="62">
        <v>7.5</v>
      </c>
      <c r="L11" s="62">
        <v>52</v>
      </c>
      <c r="M11" s="62">
        <v>35</v>
      </c>
      <c r="N11" s="62">
        <v>63</v>
      </c>
      <c r="O11" s="62"/>
      <c r="P11" s="62"/>
      <c r="Q11" s="62">
        <v>228.35</v>
      </c>
      <c r="R11" s="62">
        <v>416</v>
      </c>
    </row>
    <row r="12" spans="1:18" x14ac:dyDescent="0.25">
      <c r="A12" s="61" t="s">
        <v>822</v>
      </c>
      <c r="B12" s="61"/>
      <c r="C12" s="61">
        <v>96.7</v>
      </c>
      <c r="D12" s="61">
        <v>107.1</v>
      </c>
      <c r="E12" s="61">
        <v>56</v>
      </c>
      <c r="F12" s="61">
        <v>37.5</v>
      </c>
      <c r="G12" s="61">
        <v>4.3</v>
      </c>
      <c r="H12" s="61">
        <v>46.2</v>
      </c>
      <c r="I12" s="61">
        <v>28.849999999999998</v>
      </c>
      <c r="J12" s="61">
        <v>110.2</v>
      </c>
      <c r="K12" s="61">
        <v>7.5</v>
      </c>
      <c r="L12" s="61">
        <v>52</v>
      </c>
      <c r="M12" s="61">
        <v>35</v>
      </c>
      <c r="N12" s="61">
        <v>63</v>
      </c>
      <c r="O12" s="61"/>
      <c r="P12" s="61"/>
      <c r="Q12" s="61">
        <v>228.35</v>
      </c>
      <c r="R12" s="61">
        <v>416</v>
      </c>
    </row>
    <row r="13" spans="1:18" x14ac:dyDescent="0.25">
      <c r="A13" s="58" t="s">
        <v>809</v>
      </c>
      <c r="B13" s="63" t="s">
        <v>794</v>
      </c>
      <c r="C13" s="63">
        <v>0</v>
      </c>
      <c r="D13" s="63">
        <v>12</v>
      </c>
      <c r="E13" s="63">
        <v>0</v>
      </c>
      <c r="F13" s="63">
        <v>7.8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>
        <v>0</v>
      </c>
      <c r="R13" s="63">
        <v>19.8</v>
      </c>
    </row>
    <row r="14" spans="1:18" x14ac:dyDescent="0.25">
      <c r="A14" s="58"/>
      <c r="B14" s="63" t="s">
        <v>810</v>
      </c>
      <c r="C14" s="63">
        <v>0</v>
      </c>
      <c r="D14" s="63">
        <v>25.5</v>
      </c>
      <c r="E14" s="63"/>
      <c r="F14" s="63"/>
      <c r="G14" s="63"/>
      <c r="H14" s="63"/>
      <c r="I14" s="63"/>
      <c r="J14" s="63"/>
      <c r="K14" s="63">
        <v>0</v>
      </c>
      <c r="L14" s="63">
        <v>4</v>
      </c>
      <c r="M14" s="63"/>
      <c r="N14" s="63"/>
      <c r="O14" s="63"/>
      <c r="P14" s="63"/>
      <c r="Q14" s="63">
        <v>0</v>
      </c>
      <c r="R14" s="63">
        <v>29.5</v>
      </c>
    </row>
    <row r="15" spans="1:18" x14ac:dyDescent="0.25">
      <c r="A15" s="58"/>
      <c r="B15" s="63" t="s">
        <v>808</v>
      </c>
      <c r="C15" s="63">
        <v>0</v>
      </c>
      <c r="D15" s="63">
        <v>25.00001</v>
      </c>
      <c r="E15" s="63">
        <v>0</v>
      </c>
      <c r="F15" s="63">
        <v>38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>
        <v>0</v>
      </c>
      <c r="R15" s="63">
        <v>63.000010000000003</v>
      </c>
    </row>
    <row r="16" spans="1:18" x14ac:dyDescent="0.25">
      <c r="A16" s="58"/>
      <c r="B16" s="63" t="s">
        <v>804</v>
      </c>
      <c r="C16" s="63">
        <v>0</v>
      </c>
      <c r="D16" s="63">
        <v>0.5</v>
      </c>
      <c r="E16" s="63">
        <v>0</v>
      </c>
      <c r="F16" s="63">
        <v>18.399999999999999</v>
      </c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>
        <v>0</v>
      </c>
      <c r="R16" s="63">
        <v>18.899999999999999</v>
      </c>
    </row>
    <row r="17" spans="1:18" x14ac:dyDescent="0.25">
      <c r="A17" s="58"/>
      <c r="B17" s="63" t="s">
        <v>805</v>
      </c>
      <c r="C17" s="63">
        <v>0</v>
      </c>
      <c r="D17" s="63">
        <v>29.000019999999999</v>
      </c>
      <c r="E17" s="63">
        <v>0</v>
      </c>
      <c r="F17" s="63">
        <v>3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>
        <v>0</v>
      </c>
      <c r="R17" s="63">
        <v>32.000019999999999</v>
      </c>
    </row>
    <row r="18" spans="1:18" x14ac:dyDescent="0.25">
      <c r="A18" s="58"/>
      <c r="B18" s="63" t="s">
        <v>806</v>
      </c>
      <c r="C18" s="63">
        <v>0</v>
      </c>
      <c r="D18" s="63">
        <v>15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>
        <v>0</v>
      </c>
      <c r="R18" s="63">
        <v>15</v>
      </c>
    </row>
    <row r="19" spans="1:18" x14ac:dyDescent="0.25">
      <c r="A19" s="61" t="s">
        <v>823</v>
      </c>
      <c r="B19" s="61"/>
      <c r="C19" s="61">
        <v>0</v>
      </c>
      <c r="D19" s="61">
        <v>107.00003000000001</v>
      </c>
      <c r="E19" s="61">
        <v>0</v>
      </c>
      <c r="F19" s="61">
        <v>67.199999999999989</v>
      </c>
      <c r="G19" s="61"/>
      <c r="H19" s="61"/>
      <c r="I19" s="61"/>
      <c r="J19" s="61"/>
      <c r="K19" s="61">
        <v>0</v>
      </c>
      <c r="L19" s="61">
        <v>4</v>
      </c>
      <c r="M19" s="61"/>
      <c r="N19" s="61"/>
      <c r="O19" s="61"/>
      <c r="P19" s="61"/>
      <c r="Q19" s="61">
        <v>0</v>
      </c>
      <c r="R19" s="61">
        <v>178.20003</v>
      </c>
    </row>
    <row r="20" spans="1:18" x14ac:dyDescent="0.25">
      <c r="A20" s="58" t="s">
        <v>788</v>
      </c>
      <c r="B20" s="64" t="s">
        <v>761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>
        <v>10.105</v>
      </c>
      <c r="N20" s="64">
        <v>0</v>
      </c>
      <c r="O20" s="64"/>
      <c r="P20" s="64"/>
      <c r="Q20" s="64">
        <v>10.105</v>
      </c>
      <c r="R20" s="64">
        <v>0</v>
      </c>
    </row>
    <row r="21" spans="1:18" x14ac:dyDescent="0.25">
      <c r="A21" s="58"/>
      <c r="B21" s="64" t="s">
        <v>862</v>
      </c>
      <c r="C21" s="64"/>
      <c r="D21" s="64"/>
      <c r="E21" s="64"/>
      <c r="F21" s="64"/>
      <c r="G21" s="64"/>
      <c r="H21" s="64"/>
      <c r="I21" s="64"/>
      <c r="J21" s="64"/>
      <c r="K21" s="64">
        <v>0</v>
      </c>
      <c r="L21" s="64">
        <v>34.215899999999998</v>
      </c>
      <c r="M21" s="64">
        <v>0</v>
      </c>
      <c r="N21" s="64">
        <v>0.82443</v>
      </c>
      <c r="O21" s="64"/>
      <c r="P21" s="64"/>
      <c r="Q21" s="64">
        <v>0</v>
      </c>
      <c r="R21" s="64">
        <v>35.040329999999997</v>
      </c>
    </row>
    <row r="22" spans="1:18" x14ac:dyDescent="0.25">
      <c r="A22" s="61" t="s">
        <v>824</v>
      </c>
      <c r="B22" s="61"/>
      <c r="C22" s="61"/>
      <c r="D22" s="61"/>
      <c r="E22" s="61"/>
      <c r="F22" s="61"/>
      <c r="G22" s="61"/>
      <c r="H22" s="61"/>
      <c r="I22" s="61"/>
      <c r="J22" s="61"/>
      <c r="K22" s="61">
        <v>0</v>
      </c>
      <c r="L22" s="61">
        <v>34.215899999999998</v>
      </c>
      <c r="M22" s="61">
        <v>10.105</v>
      </c>
      <c r="N22" s="61">
        <v>0.82443</v>
      </c>
      <c r="O22" s="61"/>
      <c r="P22" s="61"/>
      <c r="Q22" s="61">
        <v>10.105</v>
      </c>
      <c r="R22" s="61">
        <v>35.040329999999997</v>
      </c>
    </row>
    <row r="23" spans="1:18" x14ac:dyDescent="0.25">
      <c r="A23" s="58" t="s">
        <v>752</v>
      </c>
      <c r="B23" s="65" t="s">
        <v>749</v>
      </c>
      <c r="C23" s="65"/>
      <c r="D23" s="65"/>
      <c r="E23" s="65"/>
      <c r="F23" s="65"/>
      <c r="G23" s="65"/>
      <c r="H23" s="65"/>
      <c r="I23" s="65"/>
      <c r="J23" s="65"/>
      <c r="K23" s="65">
        <v>0</v>
      </c>
      <c r="L23" s="65">
        <v>5</v>
      </c>
      <c r="M23" s="65"/>
      <c r="N23" s="65"/>
      <c r="O23" s="65"/>
      <c r="P23" s="65"/>
      <c r="Q23" s="65">
        <v>0</v>
      </c>
      <c r="R23" s="65">
        <v>5</v>
      </c>
    </row>
    <row r="24" spans="1:18" x14ac:dyDescent="0.25">
      <c r="A24" s="58"/>
      <c r="B24" s="65" t="s">
        <v>750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>
        <v>0</v>
      </c>
      <c r="N24" s="65">
        <v>3.5</v>
      </c>
      <c r="O24" s="65"/>
      <c r="P24" s="65"/>
      <c r="Q24" s="65">
        <v>0</v>
      </c>
      <c r="R24" s="65">
        <v>3.5</v>
      </c>
    </row>
    <row r="25" spans="1:18" x14ac:dyDescent="0.25">
      <c r="A25" s="58"/>
      <c r="B25" s="65" t="s">
        <v>751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>
        <v>0</v>
      </c>
      <c r="N25" s="65">
        <v>3.35</v>
      </c>
      <c r="O25" s="65"/>
      <c r="P25" s="65"/>
      <c r="Q25" s="65">
        <v>0</v>
      </c>
      <c r="R25" s="65">
        <v>3.35</v>
      </c>
    </row>
    <row r="26" spans="1:18" x14ac:dyDescent="0.25">
      <c r="A26" s="58"/>
      <c r="B26" s="65" t="s">
        <v>748</v>
      </c>
      <c r="C26" s="65"/>
      <c r="D26" s="65"/>
      <c r="E26" s="65"/>
      <c r="F26" s="65"/>
      <c r="G26" s="65"/>
      <c r="H26" s="65"/>
      <c r="I26" s="65">
        <v>0</v>
      </c>
      <c r="J26" s="65">
        <v>13.75</v>
      </c>
      <c r="K26" s="65"/>
      <c r="L26" s="65"/>
      <c r="M26" s="65"/>
      <c r="N26" s="65"/>
      <c r="O26" s="65"/>
      <c r="P26" s="65"/>
      <c r="Q26" s="65">
        <v>0</v>
      </c>
      <c r="R26" s="65">
        <v>13.75</v>
      </c>
    </row>
    <row r="27" spans="1:18" x14ac:dyDescent="0.25">
      <c r="A27" s="58"/>
      <c r="B27" s="65" t="s">
        <v>753</v>
      </c>
      <c r="C27" s="65">
        <v>0.42004000000000002</v>
      </c>
      <c r="D27" s="65">
        <v>0</v>
      </c>
      <c r="E27" s="65">
        <v>0.42004000000000002</v>
      </c>
      <c r="F27" s="65">
        <v>0</v>
      </c>
      <c r="G27" s="65">
        <v>0.42004000000000002</v>
      </c>
      <c r="H27" s="65">
        <v>0</v>
      </c>
      <c r="I27" s="65">
        <v>0.42003999999999997</v>
      </c>
      <c r="J27" s="65">
        <v>0</v>
      </c>
      <c r="K27" s="65">
        <v>0.42004000000000002</v>
      </c>
      <c r="L27" s="65">
        <v>0</v>
      </c>
      <c r="M27" s="65">
        <v>0.42004000000000002</v>
      </c>
      <c r="N27" s="65">
        <v>0</v>
      </c>
      <c r="O27" s="65"/>
      <c r="P27" s="65"/>
      <c r="Q27" s="65">
        <v>2.5202400000000003</v>
      </c>
      <c r="R27" s="65">
        <v>0</v>
      </c>
    </row>
    <row r="28" spans="1:18" x14ac:dyDescent="0.25">
      <c r="A28" s="58"/>
      <c r="B28" s="65" t="s">
        <v>754</v>
      </c>
      <c r="C28" s="65">
        <v>0.12615999999999999</v>
      </c>
      <c r="D28" s="65">
        <v>0</v>
      </c>
      <c r="E28" s="65">
        <v>0.12675</v>
      </c>
      <c r="F28" s="65">
        <v>0</v>
      </c>
      <c r="G28" s="65">
        <v>0.13242000000000001</v>
      </c>
      <c r="H28" s="65">
        <v>0</v>
      </c>
      <c r="I28" s="65">
        <v>0.13242000000000001</v>
      </c>
      <c r="J28" s="65">
        <v>0</v>
      </c>
      <c r="K28" s="65">
        <v>0.13242000000000001</v>
      </c>
      <c r="L28" s="65">
        <v>0</v>
      </c>
      <c r="M28" s="65"/>
      <c r="N28" s="65"/>
      <c r="O28" s="65"/>
      <c r="P28" s="65"/>
      <c r="Q28" s="65">
        <v>0.65016999999999991</v>
      </c>
      <c r="R28" s="65">
        <v>0</v>
      </c>
    </row>
    <row r="29" spans="1:18" x14ac:dyDescent="0.25">
      <c r="A29" s="58"/>
      <c r="B29" s="65" t="s">
        <v>756</v>
      </c>
      <c r="C29" s="65"/>
      <c r="D29" s="65"/>
      <c r="E29" s="65"/>
      <c r="F29" s="65"/>
      <c r="G29" s="65"/>
      <c r="H29" s="65"/>
      <c r="I29" s="65">
        <v>13.738681000000001</v>
      </c>
      <c r="J29" s="65">
        <v>0</v>
      </c>
      <c r="K29" s="65"/>
      <c r="L29" s="65"/>
      <c r="M29" s="65"/>
      <c r="N29" s="65"/>
      <c r="O29" s="65"/>
      <c r="P29" s="65"/>
      <c r="Q29" s="65">
        <v>13.738681000000001</v>
      </c>
      <c r="R29" s="65">
        <v>0</v>
      </c>
    </row>
    <row r="30" spans="1:18" x14ac:dyDescent="0.25">
      <c r="A30" s="58"/>
      <c r="B30" s="65" t="s">
        <v>755</v>
      </c>
      <c r="C30" s="65"/>
      <c r="D30" s="65"/>
      <c r="E30" s="65"/>
      <c r="F30" s="65"/>
      <c r="G30" s="65"/>
      <c r="H30" s="65"/>
      <c r="I30" s="65"/>
      <c r="J30" s="65"/>
      <c r="K30" s="65">
        <v>13.95294</v>
      </c>
      <c r="L30" s="65">
        <v>0</v>
      </c>
      <c r="M30" s="65"/>
      <c r="N30" s="65"/>
      <c r="O30" s="65"/>
      <c r="P30" s="65"/>
      <c r="Q30" s="65">
        <v>13.95294</v>
      </c>
      <c r="R30" s="65">
        <v>0</v>
      </c>
    </row>
    <row r="31" spans="1:18" x14ac:dyDescent="0.25">
      <c r="A31" s="61" t="s">
        <v>825</v>
      </c>
      <c r="B31" s="61"/>
      <c r="C31" s="61">
        <v>0.54620000000000002</v>
      </c>
      <c r="D31" s="61">
        <v>0</v>
      </c>
      <c r="E31" s="61">
        <v>0.54679</v>
      </c>
      <c r="F31" s="61">
        <v>0</v>
      </c>
      <c r="G31" s="61">
        <v>0.55246000000000006</v>
      </c>
      <c r="H31" s="61">
        <v>0</v>
      </c>
      <c r="I31" s="61">
        <v>14.291141000000001</v>
      </c>
      <c r="J31" s="61">
        <v>13.75</v>
      </c>
      <c r="K31" s="61">
        <v>14.5054</v>
      </c>
      <c r="L31" s="61">
        <v>5</v>
      </c>
      <c r="M31" s="61">
        <v>0.42004000000000002</v>
      </c>
      <c r="N31" s="61">
        <v>6.85</v>
      </c>
      <c r="O31" s="61"/>
      <c r="P31" s="61"/>
      <c r="Q31" s="61">
        <v>30.862031000000002</v>
      </c>
      <c r="R31" s="61">
        <v>25.6</v>
      </c>
    </row>
    <row r="32" spans="1:18" x14ac:dyDescent="0.25">
      <c r="A32" s="58" t="s">
        <v>787</v>
      </c>
      <c r="B32" s="66" t="s">
        <v>786</v>
      </c>
      <c r="C32" s="66">
        <v>0.2</v>
      </c>
      <c r="D32" s="66">
        <v>0</v>
      </c>
      <c r="E32" s="66">
        <v>0.2</v>
      </c>
      <c r="F32" s="66">
        <v>0</v>
      </c>
      <c r="G32" s="66">
        <v>0.2</v>
      </c>
      <c r="H32" s="66">
        <v>0</v>
      </c>
      <c r="I32" s="66">
        <v>0.2</v>
      </c>
      <c r="J32" s="66">
        <v>0</v>
      </c>
      <c r="K32" s="66">
        <v>3.2</v>
      </c>
      <c r="L32" s="66">
        <v>8.9</v>
      </c>
      <c r="M32" s="66">
        <v>7.0500000000000007</v>
      </c>
      <c r="N32" s="66">
        <v>0</v>
      </c>
      <c r="O32" s="66"/>
      <c r="P32" s="66"/>
      <c r="Q32" s="66">
        <v>11.05</v>
      </c>
      <c r="R32" s="66">
        <v>8.9</v>
      </c>
    </row>
    <row r="33" spans="1:18" x14ac:dyDescent="0.25">
      <c r="A33" s="58"/>
      <c r="B33" s="66" t="s">
        <v>763</v>
      </c>
      <c r="C33" s="66">
        <v>1.1299999999999999</v>
      </c>
      <c r="D33" s="66">
        <v>0</v>
      </c>
      <c r="E33" s="66">
        <v>1.1299999999999999</v>
      </c>
      <c r="F33" s="66">
        <v>0</v>
      </c>
      <c r="G33" s="66">
        <v>1.1299999999999999</v>
      </c>
      <c r="H33" s="66">
        <v>0</v>
      </c>
      <c r="I33" s="66">
        <v>1.1299999999999999</v>
      </c>
      <c r="J33" s="66">
        <v>0</v>
      </c>
      <c r="K33" s="66">
        <v>1.1299999999999999</v>
      </c>
      <c r="L33" s="66">
        <v>0</v>
      </c>
      <c r="M33" s="66">
        <v>1.1299999999999999</v>
      </c>
      <c r="N33" s="66">
        <v>0</v>
      </c>
      <c r="O33" s="66"/>
      <c r="P33" s="66"/>
      <c r="Q33" s="66">
        <v>6.7799999999999994</v>
      </c>
      <c r="R33" s="66">
        <v>0</v>
      </c>
    </row>
    <row r="34" spans="1:18" x14ac:dyDescent="0.25">
      <c r="A34" s="58"/>
      <c r="B34" s="66" t="s">
        <v>790</v>
      </c>
      <c r="C34" s="66">
        <v>1</v>
      </c>
      <c r="D34" s="66">
        <v>0</v>
      </c>
      <c r="E34" s="66">
        <v>1</v>
      </c>
      <c r="F34" s="66">
        <v>0</v>
      </c>
      <c r="G34" s="66">
        <v>1</v>
      </c>
      <c r="H34" s="66">
        <v>0</v>
      </c>
      <c r="I34" s="66">
        <v>1</v>
      </c>
      <c r="J34" s="66">
        <v>0</v>
      </c>
      <c r="K34" s="66">
        <v>1</v>
      </c>
      <c r="L34" s="66">
        <v>0</v>
      </c>
      <c r="M34" s="66">
        <v>1</v>
      </c>
      <c r="N34" s="66">
        <v>0</v>
      </c>
      <c r="O34" s="66"/>
      <c r="P34" s="66"/>
      <c r="Q34" s="66">
        <v>6</v>
      </c>
      <c r="R34" s="66">
        <v>0</v>
      </c>
    </row>
    <row r="35" spans="1:18" x14ac:dyDescent="0.25">
      <c r="A35" s="61" t="s">
        <v>826</v>
      </c>
      <c r="B35" s="61"/>
      <c r="C35" s="61">
        <v>2.33</v>
      </c>
      <c r="D35" s="61">
        <v>0</v>
      </c>
      <c r="E35" s="61">
        <v>2.33</v>
      </c>
      <c r="F35" s="61">
        <v>0</v>
      </c>
      <c r="G35" s="61">
        <v>2.33</v>
      </c>
      <c r="H35" s="61">
        <v>0</v>
      </c>
      <c r="I35" s="61">
        <v>2.33</v>
      </c>
      <c r="J35" s="61">
        <v>0</v>
      </c>
      <c r="K35" s="61">
        <v>5.33</v>
      </c>
      <c r="L35" s="61">
        <v>8.9</v>
      </c>
      <c r="M35" s="61">
        <v>9.18</v>
      </c>
      <c r="N35" s="61">
        <v>0</v>
      </c>
      <c r="O35" s="61"/>
      <c r="P35" s="61"/>
      <c r="Q35" s="61">
        <v>23.83</v>
      </c>
      <c r="R35" s="61">
        <v>8.9</v>
      </c>
    </row>
    <row r="36" spans="1:18" x14ac:dyDescent="0.25">
      <c r="A36" s="58" t="s">
        <v>747</v>
      </c>
      <c r="B36" s="67" t="s">
        <v>834</v>
      </c>
      <c r="C36" s="67"/>
      <c r="D36" s="67"/>
      <c r="E36" s="67"/>
      <c r="F36" s="67"/>
      <c r="G36" s="67">
        <v>0</v>
      </c>
      <c r="H36" s="67">
        <v>4.09422</v>
      </c>
      <c r="I36" s="67"/>
      <c r="J36" s="67"/>
      <c r="K36" s="67"/>
      <c r="L36" s="67"/>
      <c r="M36" s="67"/>
      <c r="N36" s="67"/>
      <c r="O36" s="67"/>
      <c r="P36" s="67"/>
      <c r="Q36" s="67">
        <v>0</v>
      </c>
      <c r="R36" s="67">
        <v>4.09422</v>
      </c>
    </row>
    <row r="37" spans="1:18" x14ac:dyDescent="0.25">
      <c r="A37" s="61" t="s">
        <v>827</v>
      </c>
      <c r="B37" s="61"/>
      <c r="C37" s="61"/>
      <c r="D37" s="61"/>
      <c r="E37" s="61"/>
      <c r="F37" s="61"/>
      <c r="G37" s="61">
        <v>0</v>
      </c>
      <c r="H37" s="61">
        <v>4.09422</v>
      </c>
      <c r="I37" s="61"/>
      <c r="J37" s="61"/>
      <c r="K37" s="61"/>
      <c r="L37" s="61"/>
      <c r="M37" s="61"/>
      <c r="N37" s="61"/>
      <c r="O37" s="61"/>
      <c r="P37" s="61"/>
      <c r="Q37" s="61">
        <v>0</v>
      </c>
      <c r="R37" s="61">
        <v>4.09422</v>
      </c>
    </row>
    <row r="38" spans="1:18" x14ac:dyDescent="0.25">
      <c r="A38" s="58" t="s">
        <v>469</v>
      </c>
      <c r="B38" s="68" t="s">
        <v>469</v>
      </c>
      <c r="C38" s="68"/>
      <c r="D38" s="68"/>
      <c r="E38" s="68"/>
      <c r="F38" s="68"/>
      <c r="G38" s="68">
        <v>0.22983390000000001</v>
      </c>
      <c r="H38" s="68">
        <v>0</v>
      </c>
      <c r="I38" s="68"/>
      <c r="J38" s="68"/>
      <c r="K38" s="68"/>
      <c r="L38" s="68"/>
      <c r="M38" s="68"/>
      <c r="N38" s="68"/>
      <c r="O38" s="68"/>
      <c r="P38" s="68"/>
      <c r="Q38" s="68">
        <v>0.22983390000000001</v>
      </c>
      <c r="R38" s="68">
        <v>0</v>
      </c>
    </row>
    <row r="39" spans="1:18" x14ac:dyDescent="0.25">
      <c r="A39" s="61" t="s">
        <v>828</v>
      </c>
      <c r="B39" s="61"/>
      <c r="C39" s="61"/>
      <c r="D39" s="61"/>
      <c r="E39" s="61"/>
      <c r="F39" s="61"/>
      <c r="G39" s="61">
        <v>0.22983390000000001</v>
      </c>
      <c r="H39" s="61">
        <v>0</v>
      </c>
      <c r="I39" s="61"/>
      <c r="J39" s="61"/>
      <c r="K39" s="61"/>
      <c r="L39" s="61"/>
      <c r="M39" s="61"/>
      <c r="N39" s="61"/>
      <c r="O39" s="61"/>
      <c r="P39" s="61"/>
      <c r="Q39" s="61">
        <v>0.22983390000000001</v>
      </c>
      <c r="R39" s="61">
        <v>0</v>
      </c>
    </row>
    <row r="40" spans="1:18" x14ac:dyDescent="0.25">
      <c r="A40" s="58" t="s">
        <v>746</v>
      </c>
      <c r="B40" s="69" t="s">
        <v>298</v>
      </c>
      <c r="C40" s="69"/>
      <c r="D40" s="69"/>
      <c r="E40" s="69">
        <v>8.8500000000000002E-3</v>
      </c>
      <c r="F40" s="69">
        <v>0</v>
      </c>
      <c r="G40" s="69"/>
      <c r="H40" s="69"/>
      <c r="I40" s="69">
        <v>2E-3</v>
      </c>
      <c r="J40" s="69">
        <v>0</v>
      </c>
      <c r="K40" s="69">
        <v>2E-3</v>
      </c>
      <c r="L40" s="69">
        <v>0</v>
      </c>
      <c r="M40" s="69">
        <v>4.0000000000000001E-3</v>
      </c>
      <c r="N40" s="69">
        <v>0</v>
      </c>
      <c r="O40" s="69"/>
      <c r="P40" s="69"/>
      <c r="Q40" s="69">
        <v>1.685E-2</v>
      </c>
      <c r="R40" s="69">
        <v>0</v>
      </c>
    </row>
    <row r="41" spans="1:18" x14ac:dyDescent="0.25">
      <c r="A41" s="58"/>
      <c r="B41" s="69" t="s">
        <v>125</v>
      </c>
      <c r="C41" s="69">
        <v>5.9789700000000003</v>
      </c>
      <c r="D41" s="69">
        <v>0</v>
      </c>
      <c r="E41" s="69">
        <v>4.6416300000000001</v>
      </c>
      <c r="F41" s="69">
        <v>0</v>
      </c>
      <c r="G41" s="69">
        <v>7.7348300000000005</v>
      </c>
      <c r="H41" s="69">
        <v>0</v>
      </c>
      <c r="I41" s="69">
        <v>7.7014300000000002</v>
      </c>
      <c r="J41" s="69">
        <v>0</v>
      </c>
      <c r="K41" s="69">
        <v>5.5856700000000004</v>
      </c>
      <c r="L41" s="69">
        <v>0</v>
      </c>
      <c r="M41" s="69">
        <v>4.2248400000000004</v>
      </c>
      <c r="N41" s="69">
        <v>0</v>
      </c>
      <c r="O41" s="69"/>
      <c r="P41" s="69"/>
      <c r="Q41" s="69">
        <v>35.867370000000001</v>
      </c>
      <c r="R41" s="69">
        <v>0</v>
      </c>
    </row>
    <row r="42" spans="1:18" x14ac:dyDescent="0.25">
      <c r="A42" s="61" t="s">
        <v>829</v>
      </c>
      <c r="B42" s="61"/>
      <c r="C42" s="61">
        <v>5.9789700000000003</v>
      </c>
      <c r="D42" s="61">
        <v>0</v>
      </c>
      <c r="E42" s="61">
        <v>4.6504799999999999</v>
      </c>
      <c r="F42" s="61">
        <v>0</v>
      </c>
      <c r="G42" s="61">
        <v>7.7348300000000005</v>
      </c>
      <c r="H42" s="61">
        <v>0</v>
      </c>
      <c r="I42" s="61">
        <v>7.70343</v>
      </c>
      <c r="J42" s="61">
        <v>0</v>
      </c>
      <c r="K42" s="61">
        <v>5.5876700000000001</v>
      </c>
      <c r="L42" s="61">
        <v>0</v>
      </c>
      <c r="M42" s="61">
        <v>4.2288399999999999</v>
      </c>
      <c r="N42" s="61">
        <v>0</v>
      </c>
      <c r="O42" s="61"/>
      <c r="P42" s="61"/>
      <c r="Q42" s="61">
        <v>35.884219999999999</v>
      </c>
      <c r="R42" s="61">
        <v>0</v>
      </c>
    </row>
    <row r="43" spans="1:18" x14ac:dyDescent="0.25">
      <c r="A43" s="58" t="s">
        <v>759</v>
      </c>
      <c r="B43" s="58" t="s">
        <v>758</v>
      </c>
      <c r="C43" s="58">
        <v>2.86</v>
      </c>
      <c r="D43" s="58">
        <v>0</v>
      </c>
      <c r="E43" s="58"/>
      <c r="F43" s="58"/>
      <c r="G43" s="58">
        <v>3.4750000000000001</v>
      </c>
      <c r="H43" s="58">
        <v>0</v>
      </c>
      <c r="I43" s="58"/>
      <c r="J43" s="58"/>
      <c r="K43" s="58"/>
      <c r="L43" s="58"/>
      <c r="M43" s="58"/>
      <c r="N43" s="58"/>
      <c r="O43" s="58"/>
      <c r="P43" s="58"/>
      <c r="Q43" s="58">
        <v>6.335</v>
      </c>
      <c r="R43" s="58">
        <v>0</v>
      </c>
    </row>
    <row r="44" spans="1:18" x14ac:dyDescent="0.25">
      <c r="A44" s="58"/>
      <c r="B44" s="58" t="s">
        <v>760</v>
      </c>
      <c r="C44" s="58">
        <v>0.5</v>
      </c>
      <c r="D44" s="58">
        <v>0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>
        <v>0.5</v>
      </c>
      <c r="R44" s="58">
        <v>0</v>
      </c>
    </row>
    <row r="45" spans="1:18" x14ac:dyDescent="0.25">
      <c r="A45" s="58"/>
      <c r="B45" s="70" t="s">
        <v>789</v>
      </c>
      <c r="C45" s="70">
        <v>0.55069540000000006</v>
      </c>
      <c r="D45" s="70">
        <v>0</v>
      </c>
      <c r="E45" s="70">
        <v>0.63204210000000005</v>
      </c>
      <c r="F45" s="70">
        <v>0</v>
      </c>
      <c r="G45" s="70">
        <v>0.62434970000000001</v>
      </c>
      <c r="H45" s="70">
        <v>0</v>
      </c>
      <c r="I45" s="70">
        <v>1.0276862</v>
      </c>
      <c r="J45" s="70">
        <v>0</v>
      </c>
      <c r="K45" s="70">
        <v>0.43300000000000005</v>
      </c>
      <c r="L45" s="70">
        <v>0</v>
      </c>
      <c r="M45" s="70">
        <v>0.64968080000000006</v>
      </c>
      <c r="N45" s="70">
        <v>0</v>
      </c>
      <c r="O45" s="70"/>
      <c r="P45" s="70"/>
      <c r="Q45" s="70">
        <v>3.9174542000000003</v>
      </c>
      <c r="R45" s="70">
        <v>0</v>
      </c>
    </row>
    <row r="46" spans="1:18" x14ac:dyDescent="0.25">
      <c r="A46" s="58"/>
      <c r="B46" s="58" t="s">
        <v>762</v>
      </c>
      <c r="C46" s="58">
        <v>1</v>
      </c>
      <c r="D46" s="58">
        <v>0</v>
      </c>
      <c r="E46" s="58">
        <v>0.7</v>
      </c>
      <c r="F46" s="58">
        <v>0</v>
      </c>
      <c r="G46" s="58">
        <v>1</v>
      </c>
      <c r="H46" s="58">
        <v>0</v>
      </c>
      <c r="I46" s="58">
        <v>1</v>
      </c>
      <c r="J46" s="58">
        <v>0</v>
      </c>
      <c r="K46" s="58">
        <v>0.5</v>
      </c>
      <c r="L46" s="58">
        <v>0</v>
      </c>
      <c r="M46" s="58"/>
      <c r="N46" s="58"/>
      <c r="O46" s="58"/>
      <c r="P46" s="58"/>
      <c r="Q46" s="58">
        <v>4.2</v>
      </c>
      <c r="R46" s="58">
        <v>0</v>
      </c>
    </row>
    <row r="47" spans="1:18" x14ac:dyDescent="0.25">
      <c r="A47" s="58"/>
      <c r="B47" s="58" t="s">
        <v>764</v>
      </c>
      <c r="C47" s="58"/>
      <c r="D47" s="58"/>
      <c r="E47" s="58">
        <v>1.5</v>
      </c>
      <c r="F47" s="58">
        <v>0</v>
      </c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>
        <v>1.5</v>
      </c>
      <c r="R47" s="58">
        <v>0</v>
      </c>
    </row>
    <row r="48" spans="1:18" x14ac:dyDescent="0.25">
      <c r="A48" s="58"/>
      <c r="B48" s="71" t="s">
        <v>765</v>
      </c>
      <c r="C48" s="71">
        <v>9.26</v>
      </c>
      <c r="D48" s="71">
        <v>0</v>
      </c>
      <c r="E48" s="71">
        <v>1.66</v>
      </c>
      <c r="F48" s="71">
        <v>0</v>
      </c>
      <c r="G48" s="71">
        <v>1.31</v>
      </c>
      <c r="H48" s="71">
        <v>0</v>
      </c>
      <c r="I48" s="71">
        <v>3.05</v>
      </c>
      <c r="J48" s="71">
        <v>0</v>
      </c>
      <c r="K48" s="71">
        <v>3.19</v>
      </c>
      <c r="L48" s="71">
        <v>0</v>
      </c>
      <c r="M48" s="71">
        <v>2.02</v>
      </c>
      <c r="N48" s="71">
        <v>0</v>
      </c>
      <c r="O48" s="71"/>
      <c r="P48" s="71"/>
      <c r="Q48" s="71">
        <v>20.490000000000002</v>
      </c>
      <c r="R48" s="71">
        <v>0</v>
      </c>
    </row>
    <row r="49" spans="1:18" x14ac:dyDescent="0.25">
      <c r="A49" s="58"/>
      <c r="B49" s="58" t="s">
        <v>766</v>
      </c>
      <c r="C49" s="58">
        <v>0.83308000000000004</v>
      </c>
      <c r="D49" s="58">
        <v>0</v>
      </c>
      <c r="E49" s="58">
        <v>0.90904000000000007</v>
      </c>
      <c r="F49" s="58">
        <v>0</v>
      </c>
      <c r="G49" s="58">
        <v>0.70967999999999998</v>
      </c>
      <c r="H49" s="58">
        <v>0</v>
      </c>
      <c r="I49" s="58">
        <v>0.71926000000000001</v>
      </c>
      <c r="J49" s="58">
        <v>0</v>
      </c>
      <c r="K49" s="58">
        <v>0.69294</v>
      </c>
      <c r="L49" s="58">
        <v>0</v>
      </c>
      <c r="M49" s="58">
        <v>0.69306000000000001</v>
      </c>
      <c r="N49" s="58">
        <v>0</v>
      </c>
      <c r="O49" s="58"/>
      <c r="P49" s="58"/>
      <c r="Q49" s="58">
        <v>4.5570599999999999</v>
      </c>
      <c r="R49" s="58">
        <v>0</v>
      </c>
    </row>
    <row r="50" spans="1:18" x14ac:dyDescent="0.25">
      <c r="A50" s="58"/>
      <c r="B50" s="58" t="s">
        <v>767</v>
      </c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>
        <v>1</v>
      </c>
      <c r="N50" s="58">
        <v>0</v>
      </c>
      <c r="O50" s="58"/>
      <c r="P50" s="58"/>
      <c r="Q50" s="58">
        <v>1</v>
      </c>
      <c r="R50" s="58">
        <v>0</v>
      </c>
    </row>
    <row r="51" spans="1:18" x14ac:dyDescent="0.25">
      <c r="A51" s="58"/>
      <c r="B51" s="72" t="s">
        <v>768</v>
      </c>
      <c r="C51" s="72"/>
      <c r="D51" s="72"/>
      <c r="E51" s="72"/>
      <c r="F51" s="72"/>
      <c r="G51" s="72"/>
      <c r="H51" s="72"/>
      <c r="I51" s="72">
        <v>0.5</v>
      </c>
      <c r="J51" s="72">
        <v>0</v>
      </c>
      <c r="K51" s="72">
        <v>0.4</v>
      </c>
      <c r="L51" s="72">
        <v>0</v>
      </c>
      <c r="M51" s="72"/>
      <c r="N51" s="72"/>
      <c r="O51" s="72"/>
      <c r="P51" s="72"/>
      <c r="Q51" s="72">
        <v>0.9</v>
      </c>
      <c r="R51" s="72">
        <v>0</v>
      </c>
    </row>
    <row r="52" spans="1:18" x14ac:dyDescent="0.25">
      <c r="A52" s="58"/>
      <c r="B52" s="72" t="s">
        <v>769</v>
      </c>
      <c r="C52" s="72">
        <v>1.7325200000000001</v>
      </c>
      <c r="D52" s="72">
        <v>0</v>
      </c>
      <c r="E52" s="72">
        <v>0.12855</v>
      </c>
      <c r="F52" s="72">
        <v>0</v>
      </c>
      <c r="G52" s="72">
        <v>1.44035</v>
      </c>
      <c r="H52" s="72">
        <v>0</v>
      </c>
      <c r="I52" s="72">
        <v>0.61399000000000004</v>
      </c>
      <c r="J52" s="72">
        <v>0</v>
      </c>
      <c r="K52" s="72">
        <v>0.83740999999999999</v>
      </c>
      <c r="L52" s="72">
        <v>0</v>
      </c>
      <c r="M52" s="72">
        <v>1.8239999999999998</v>
      </c>
      <c r="N52" s="72">
        <v>0</v>
      </c>
      <c r="O52" s="72"/>
      <c r="P52" s="72"/>
      <c r="Q52" s="72">
        <v>6.5768200000000006</v>
      </c>
      <c r="R52" s="72">
        <v>0</v>
      </c>
    </row>
    <row r="53" spans="1:18" x14ac:dyDescent="0.25">
      <c r="A53" s="58"/>
      <c r="B53" s="72" t="s">
        <v>770</v>
      </c>
      <c r="C53" s="72"/>
      <c r="D53" s="72"/>
      <c r="E53" s="72"/>
      <c r="F53" s="72"/>
      <c r="G53" s="72"/>
      <c r="H53" s="72"/>
      <c r="I53" s="72">
        <v>0.625</v>
      </c>
      <c r="J53" s="72">
        <v>0</v>
      </c>
      <c r="K53" s="72">
        <v>0.55000000000000004</v>
      </c>
      <c r="L53" s="72">
        <v>0</v>
      </c>
      <c r="M53" s="72"/>
      <c r="N53" s="72"/>
      <c r="O53" s="72"/>
      <c r="P53" s="72"/>
      <c r="Q53" s="72">
        <v>1.175</v>
      </c>
      <c r="R53" s="72">
        <v>0</v>
      </c>
    </row>
    <row r="54" spans="1:18" x14ac:dyDescent="0.25">
      <c r="A54" s="58"/>
      <c r="B54" s="72" t="s">
        <v>771</v>
      </c>
      <c r="C54" s="72"/>
      <c r="D54" s="72"/>
      <c r="E54" s="72"/>
      <c r="F54" s="72"/>
      <c r="G54" s="72">
        <v>0.5</v>
      </c>
      <c r="H54" s="72">
        <v>0</v>
      </c>
      <c r="I54" s="72"/>
      <c r="J54" s="72"/>
      <c r="K54" s="72"/>
      <c r="L54" s="72"/>
      <c r="M54" s="72"/>
      <c r="N54" s="72"/>
      <c r="O54" s="72"/>
      <c r="P54" s="72"/>
      <c r="Q54" s="72">
        <v>0.5</v>
      </c>
      <c r="R54" s="72">
        <v>0</v>
      </c>
    </row>
    <row r="55" spans="1:18" x14ac:dyDescent="0.25">
      <c r="A55" s="58"/>
      <c r="B55" s="72" t="s">
        <v>772</v>
      </c>
      <c r="C55" s="72">
        <v>1.25</v>
      </c>
      <c r="D55" s="72">
        <v>0</v>
      </c>
      <c r="E55" s="72">
        <v>0.4</v>
      </c>
      <c r="F55" s="72">
        <v>0</v>
      </c>
      <c r="G55" s="72">
        <v>1</v>
      </c>
      <c r="H55" s="72">
        <v>0</v>
      </c>
      <c r="I55" s="72"/>
      <c r="J55" s="72"/>
      <c r="K55" s="72">
        <v>0.5</v>
      </c>
      <c r="L55" s="72">
        <v>0</v>
      </c>
      <c r="M55" s="72"/>
      <c r="N55" s="72"/>
      <c r="O55" s="72"/>
      <c r="P55" s="72"/>
      <c r="Q55" s="72">
        <v>3.15</v>
      </c>
      <c r="R55" s="72">
        <v>0</v>
      </c>
    </row>
    <row r="56" spans="1:18" x14ac:dyDescent="0.25">
      <c r="A56" s="58"/>
      <c r="B56" s="72" t="s">
        <v>773</v>
      </c>
      <c r="C56" s="72">
        <v>5.3712599999999995</v>
      </c>
      <c r="D56" s="72">
        <v>0</v>
      </c>
      <c r="E56" s="72">
        <v>4.6113400000000002</v>
      </c>
      <c r="F56" s="72">
        <v>0</v>
      </c>
      <c r="G56" s="72">
        <v>3.3289599999999999</v>
      </c>
      <c r="H56" s="72">
        <v>0</v>
      </c>
      <c r="I56" s="72">
        <v>3.8757999999999999</v>
      </c>
      <c r="J56" s="72">
        <v>0</v>
      </c>
      <c r="K56" s="72">
        <v>4.1970000000000001</v>
      </c>
      <c r="L56" s="72">
        <v>0</v>
      </c>
      <c r="M56" s="72">
        <v>3.9133</v>
      </c>
      <c r="N56" s="72">
        <v>0</v>
      </c>
      <c r="O56" s="72"/>
      <c r="P56" s="72"/>
      <c r="Q56" s="72">
        <v>25.297659999999997</v>
      </c>
      <c r="R56" s="72">
        <v>0</v>
      </c>
    </row>
    <row r="57" spans="1:18" x14ac:dyDescent="0.25">
      <c r="A57" s="58"/>
      <c r="B57" s="67" t="s">
        <v>774</v>
      </c>
      <c r="C57" s="67">
        <v>232.66752000000002</v>
      </c>
      <c r="D57" s="67">
        <v>0</v>
      </c>
      <c r="E57" s="67">
        <v>203.50336999999999</v>
      </c>
      <c r="F57" s="67">
        <v>0</v>
      </c>
      <c r="G57" s="67">
        <v>150.18256</v>
      </c>
      <c r="H57" s="67">
        <v>0</v>
      </c>
      <c r="I57" s="67">
        <v>98.990980000000008</v>
      </c>
      <c r="J57" s="67">
        <v>0</v>
      </c>
      <c r="K57" s="67">
        <v>144.59044</v>
      </c>
      <c r="L57" s="67">
        <v>0</v>
      </c>
      <c r="M57" s="67">
        <v>93.873980000000003</v>
      </c>
      <c r="N57" s="67">
        <v>0</v>
      </c>
      <c r="O57" s="67"/>
      <c r="P57" s="67"/>
      <c r="Q57" s="67">
        <v>923.80885000000001</v>
      </c>
      <c r="R57" s="67">
        <v>0</v>
      </c>
    </row>
    <row r="58" spans="1:18" x14ac:dyDescent="0.25">
      <c r="A58" s="58"/>
      <c r="B58" s="72" t="s">
        <v>775</v>
      </c>
      <c r="C58" s="72"/>
      <c r="D58" s="72"/>
      <c r="E58" s="72"/>
      <c r="F58" s="72"/>
      <c r="G58" s="72"/>
      <c r="H58" s="72"/>
      <c r="I58" s="72">
        <v>1</v>
      </c>
      <c r="J58" s="72">
        <v>0</v>
      </c>
      <c r="K58" s="72"/>
      <c r="L58" s="72"/>
      <c r="M58" s="72"/>
      <c r="N58" s="72"/>
      <c r="O58" s="72"/>
      <c r="P58" s="72"/>
      <c r="Q58" s="72">
        <v>1</v>
      </c>
      <c r="R58" s="72">
        <v>0</v>
      </c>
    </row>
    <row r="59" spans="1:18" x14ac:dyDescent="0.25">
      <c r="A59" s="58"/>
      <c r="B59" s="72" t="s">
        <v>776</v>
      </c>
      <c r="C59" s="72">
        <v>0.94232000000000005</v>
      </c>
      <c r="D59" s="72">
        <v>0</v>
      </c>
      <c r="E59" s="72">
        <v>1.2757000000000001</v>
      </c>
      <c r="F59" s="72">
        <v>0</v>
      </c>
      <c r="G59" s="72">
        <v>1.31558</v>
      </c>
      <c r="H59" s="72">
        <v>0</v>
      </c>
      <c r="I59" s="72">
        <v>1.3656999999999999</v>
      </c>
      <c r="J59" s="72">
        <v>0</v>
      </c>
      <c r="K59" s="72">
        <v>1.4244000000000001</v>
      </c>
      <c r="L59" s="72">
        <v>0</v>
      </c>
      <c r="M59" s="72">
        <v>1.26528</v>
      </c>
      <c r="N59" s="72">
        <v>0</v>
      </c>
      <c r="O59" s="72"/>
      <c r="P59" s="72"/>
      <c r="Q59" s="72">
        <v>7.5889800000000003</v>
      </c>
      <c r="R59" s="72">
        <v>0</v>
      </c>
    </row>
    <row r="60" spans="1:18" x14ac:dyDescent="0.25">
      <c r="A60" s="58"/>
      <c r="B60" s="72" t="s">
        <v>777</v>
      </c>
      <c r="C60" s="72"/>
      <c r="D60" s="72"/>
      <c r="E60" s="72"/>
      <c r="F60" s="72"/>
      <c r="G60" s="72"/>
      <c r="H60" s="72"/>
      <c r="I60" s="72">
        <v>0.5</v>
      </c>
      <c r="J60" s="72">
        <v>0</v>
      </c>
      <c r="K60" s="72"/>
      <c r="L60" s="72"/>
      <c r="M60" s="72"/>
      <c r="N60" s="72"/>
      <c r="O60" s="72"/>
      <c r="P60" s="72"/>
      <c r="Q60" s="72">
        <v>0.5</v>
      </c>
      <c r="R60" s="72">
        <v>0</v>
      </c>
    </row>
    <row r="61" spans="1:18" x14ac:dyDescent="0.25">
      <c r="A61" s="58"/>
      <c r="B61" s="67" t="s">
        <v>778</v>
      </c>
      <c r="C61" s="67">
        <v>96</v>
      </c>
      <c r="D61" s="67">
        <v>0</v>
      </c>
      <c r="E61" s="67">
        <v>176.5</v>
      </c>
      <c r="F61" s="67">
        <v>0</v>
      </c>
      <c r="G61" s="67">
        <v>143.5</v>
      </c>
      <c r="H61" s="67">
        <v>0</v>
      </c>
      <c r="I61" s="67">
        <v>250.90997999999999</v>
      </c>
      <c r="J61" s="67">
        <v>0</v>
      </c>
      <c r="K61" s="67">
        <v>160.17369000000002</v>
      </c>
      <c r="L61" s="67">
        <v>0</v>
      </c>
      <c r="M61" s="67">
        <v>36</v>
      </c>
      <c r="N61" s="67">
        <v>0</v>
      </c>
      <c r="O61" s="67"/>
      <c r="P61" s="67"/>
      <c r="Q61" s="67">
        <v>863.08366999999998</v>
      </c>
      <c r="R61" s="67">
        <v>0</v>
      </c>
    </row>
    <row r="62" spans="1:18" x14ac:dyDescent="0.25">
      <c r="A62" s="58"/>
      <c r="B62" s="58" t="s">
        <v>779</v>
      </c>
      <c r="C62" s="58"/>
      <c r="D62" s="58"/>
      <c r="E62" s="58">
        <v>1</v>
      </c>
      <c r="F62" s="58">
        <v>0</v>
      </c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>
        <v>1</v>
      </c>
      <c r="R62" s="58">
        <v>0</v>
      </c>
    </row>
    <row r="63" spans="1:18" x14ac:dyDescent="0.25">
      <c r="A63" s="58"/>
      <c r="B63" s="58" t="s">
        <v>780</v>
      </c>
      <c r="C63" s="58">
        <v>1.5</v>
      </c>
      <c r="D63" s="58">
        <v>0</v>
      </c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>
        <v>1.5</v>
      </c>
      <c r="R63" s="58">
        <v>0</v>
      </c>
    </row>
    <row r="64" spans="1:18" x14ac:dyDescent="0.25">
      <c r="A64" s="58"/>
      <c r="B64" s="58" t="s">
        <v>781</v>
      </c>
      <c r="C64" s="58">
        <v>0.1</v>
      </c>
      <c r="D64" s="58">
        <v>0</v>
      </c>
      <c r="E64" s="58">
        <v>0.1</v>
      </c>
      <c r="F64" s="58">
        <v>0</v>
      </c>
      <c r="G64" s="58">
        <v>0.1</v>
      </c>
      <c r="H64" s="58">
        <v>0</v>
      </c>
      <c r="I64" s="58">
        <v>0.1</v>
      </c>
      <c r="J64" s="58">
        <v>0</v>
      </c>
      <c r="K64" s="58">
        <v>0.1</v>
      </c>
      <c r="L64" s="58">
        <v>0</v>
      </c>
      <c r="M64" s="58">
        <v>0.1</v>
      </c>
      <c r="N64" s="58">
        <v>0</v>
      </c>
      <c r="O64" s="58"/>
      <c r="P64" s="58"/>
      <c r="Q64" s="58">
        <v>0.6</v>
      </c>
      <c r="R64" s="58">
        <v>0</v>
      </c>
    </row>
    <row r="65" spans="1:18" x14ac:dyDescent="0.25">
      <c r="A65" s="58"/>
      <c r="B65" s="58" t="s">
        <v>782</v>
      </c>
      <c r="C65" s="58"/>
      <c r="D65" s="58"/>
      <c r="E65" s="58"/>
      <c r="F65" s="58"/>
      <c r="G65" s="58"/>
      <c r="H65" s="58"/>
      <c r="I65" s="58">
        <v>1.8</v>
      </c>
      <c r="J65" s="58">
        <v>0</v>
      </c>
      <c r="K65" s="58"/>
      <c r="L65" s="58"/>
      <c r="M65" s="58"/>
      <c r="N65" s="58"/>
      <c r="O65" s="58"/>
      <c r="P65" s="58"/>
      <c r="Q65" s="58">
        <v>1.8</v>
      </c>
      <c r="R65" s="58">
        <v>0</v>
      </c>
    </row>
    <row r="66" spans="1:18" x14ac:dyDescent="0.25">
      <c r="A66" s="58"/>
      <c r="B66" s="58" t="s">
        <v>783</v>
      </c>
      <c r="C66" s="58"/>
      <c r="D66" s="58"/>
      <c r="E66" s="58"/>
      <c r="F66" s="58"/>
      <c r="G66" s="58">
        <v>0.4</v>
      </c>
      <c r="H66" s="58">
        <v>0</v>
      </c>
      <c r="I66" s="58">
        <v>0.4</v>
      </c>
      <c r="J66" s="58">
        <v>0</v>
      </c>
      <c r="K66" s="58">
        <v>1</v>
      </c>
      <c r="L66" s="58">
        <v>0</v>
      </c>
      <c r="M66" s="58"/>
      <c r="N66" s="58"/>
      <c r="O66" s="58"/>
      <c r="P66" s="58"/>
      <c r="Q66" s="58">
        <v>1.8</v>
      </c>
      <c r="R66" s="58">
        <v>0</v>
      </c>
    </row>
    <row r="67" spans="1:18" x14ac:dyDescent="0.25">
      <c r="A67" s="58"/>
      <c r="B67" s="58" t="s">
        <v>784</v>
      </c>
      <c r="C67" s="58">
        <v>1.6600000000000001</v>
      </c>
      <c r="D67" s="58">
        <v>0</v>
      </c>
      <c r="E67" s="58">
        <v>0.66</v>
      </c>
      <c r="F67" s="58">
        <v>0</v>
      </c>
      <c r="G67" s="58">
        <v>0.66</v>
      </c>
      <c r="H67" s="58">
        <v>0</v>
      </c>
      <c r="I67" s="58">
        <v>0.66</v>
      </c>
      <c r="J67" s="58">
        <v>0</v>
      </c>
      <c r="K67" s="58">
        <v>0.66</v>
      </c>
      <c r="L67" s="58">
        <v>0</v>
      </c>
      <c r="M67" s="58">
        <v>0.66</v>
      </c>
      <c r="N67" s="58">
        <v>0</v>
      </c>
      <c r="O67" s="58"/>
      <c r="P67" s="58"/>
      <c r="Q67" s="58">
        <v>4.9600000000000009</v>
      </c>
      <c r="R67" s="58">
        <v>0</v>
      </c>
    </row>
    <row r="68" spans="1:18" x14ac:dyDescent="0.25">
      <c r="A68" s="58"/>
      <c r="B68" s="58" t="s">
        <v>785</v>
      </c>
      <c r="C68" s="58"/>
      <c r="D68" s="58"/>
      <c r="E68" s="58">
        <v>0.2</v>
      </c>
      <c r="F68" s="58">
        <v>0</v>
      </c>
      <c r="G68" s="58"/>
      <c r="H68" s="58"/>
      <c r="I68" s="58"/>
      <c r="J68" s="58"/>
      <c r="K68" s="58">
        <v>7.0000000000000007E-2</v>
      </c>
      <c r="L68" s="58">
        <v>0</v>
      </c>
      <c r="M68" s="58">
        <v>0.6</v>
      </c>
      <c r="N68" s="58">
        <v>0</v>
      </c>
      <c r="O68" s="58"/>
      <c r="P68" s="58"/>
      <c r="Q68" s="58">
        <v>0.87</v>
      </c>
      <c r="R68" s="58">
        <v>0</v>
      </c>
    </row>
    <row r="69" spans="1:18" x14ac:dyDescent="0.25">
      <c r="A69" s="61" t="s">
        <v>830</v>
      </c>
      <c r="B69" s="61"/>
      <c r="C69" s="61">
        <v>356.22739540000009</v>
      </c>
      <c r="D69" s="61">
        <v>0</v>
      </c>
      <c r="E69" s="61">
        <v>393.78004210000006</v>
      </c>
      <c r="F69" s="61">
        <v>0</v>
      </c>
      <c r="G69" s="61">
        <v>309.54647970000002</v>
      </c>
      <c r="H69" s="61">
        <v>0</v>
      </c>
      <c r="I69" s="61">
        <v>367.13839620000005</v>
      </c>
      <c r="J69" s="61">
        <v>0</v>
      </c>
      <c r="K69" s="61">
        <v>319.31888000000004</v>
      </c>
      <c r="L69" s="61">
        <v>0</v>
      </c>
      <c r="M69" s="61">
        <v>142.59930080000001</v>
      </c>
      <c r="N69" s="61">
        <v>0</v>
      </c>
      <c r="O69" s="61"/>
      <c r="P69" s="61"/>
      <c r="Q69" s="61">
        <v>1888.6104941999997</v>
      </c>
      <c r="R69" s="61">
        <v>0</v>
      </c>
    </row>
    <row r="70" spans="1:18" x14ac:dyDescent="0.25">
      <c r="A70" s="58" t="s">
        <v>497</v>
      </c>
      <c r="B70" s="70" t="s">
        <v>812</v>
      </c>
      <c r="C70" s="70"/>
      <c r="D70" s="70"/>
      <c r="E70" s="70">
        <v>0</v>
      </c>
      <c r="F70" s="70">
        <v>14.82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>
        <v>0</v>
      </c>
      <c r="R70" s="70">
        <v>14.82</v>
      </c>
    </row>
    <row r="71" spans="1:18" x14ac:dyDescent="0.25">
      <c r="A71" s="58"/>
      <c r="B71" s="70" t="s">
        <v>498</v>
      </c>
      <c r="C71" s="70"/>
      <c r="D71" s="70"/>
      <c r="E71" s="70"/>
      <c r="F71" s="70"/>
      <c r="G71" s="70"/>
      <c r="H71" s="70"/>
      <c r="I71" s="70">
        <v>0</v>
      </c>
      <c r="J71" s="70">
        <v>17</v>
      </c>
      <c r="K71" s="70">
        <v>0</v>
      </c>
      <c r="L71" s="70">
        <v>7</v>
      </c>
      <c r="M71" s="70"/>
      <c r="N71" s="70"/>
      <c r="O71" s="70"/>
      <c r="P71" s="70"/>
      <c r="Q71" s="70">
        <v>0</v>
      </c>
      <c r="R71" s="70">
        <v>24</v>
      </c>
    </row>
    <row r="72" spans="1:18" x14ac:dyDescent="0.25">
      <c r="A72" s="58"/>
      <c r="B72" s="70" t="s">
        <v>789</v>
      </c>
      <c r="C72" s="70"/>
      <c r="D72" s="70"/>
      <c r="E72" s="70">
        <v>0</v>
      </c>
      <c r="F72" s="70">
        <v>0.35000999999999999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>
        <v>0</v>
      </c>
      <c r="R72" s="70">
        <v>0.35000999999999999</v>
      </c>
    </row>
    <row r="73" spans="1:18" x14ac:dyDescent="0.25">
      <c r="A73" s="58"/>
      <c r="B73" s="70" t="s">
        <v>791</v>
      </c>
      <c r="C73" s="70">
        <v>0</v>
      </c>
      <c r="D73" s="70">
        <v>16</v>
      </c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>
        <v>0</v>
      </c>
      <c r="R73" s="70">
        <v>16</v>
      </c>
    </row>
    <row r="74" spans="1:18" x14ac:dyDescent="0.25">
      <c r="A74" s="58"/>
      <c r="B74" s="70" t="s">
        <v>792</v>
      </c>
      <c r="C74" s="70"/>
      <c r="D74" s="70"/>
      <c r="E74" s="70">
        <v>0</v>
      </c>
      <c r="F74" s="70">
        <v>8.52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>
        <v>0</v>
      </c>
      <c r="R74" s="70">
        <v>8.52</v>
      </c>
    </row>
    <row r="75" spans="1:18" x14ac:dyDescent="0.25">
      <c r="A75" s="58"/>
      <c r="B75" s="70" t="s">
        <v>811</v>
      </c>
      <c r="C75" s="70">
        <v>0</v>
      </c>
      <c r="D75" s="70">
        <v>10</v>
      </c>
      <c r="E75" s="70">
        <v>0</v>
      </c>
      <c r="F75" s="70">
        <v>7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>
        <v>0</v>
      </c>
      <c r="R75" s="70">
        <v>17</v>
      </c>
    </row>
    <row r="76" spans="1:18" x14ac:dyDescent="0.25">
      <c r="A76" s="58"/>
      <c r="B76" s="70" t="s">
        <v>793</v>
      </c>
      <c r="C76" s="70"/>
      <c r="D76" s="70"/>
      <c r="E76" s="70">
        <v>0</v>
      </c>
      <c r="F76" s="70">
        <v>13.5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>
        <v>0</v>
      </c>
      <c r="R76" s="70">
        <v>13.5</v>
      </c>
    </row>
    <row r="77" spans="1:18" x14ac:dyDescent="0.25">
      <c r="A77" s="58"/>
      <c r="B77" s="71" t="s">
        <v>765</v>
      </c>
      <c r="C77" s="71"/>
      <c r="D77" s="71"/>
      <c r="E77" s="71"/>
      <c r="F77" s="71"/>
      <c r="G77" s="71">
        <v>0</v>
      </c>
      <c r="H77" s="71">
        <v>35</v>
      </c>
      <c r="I77" s="71">
        <v>0</v>
      </c>
      <c r="J77" s="71">
        <v>22</v>
      </c>
      <c r="K77" s="71">
        <v>0</v>
      </c>
      <c r="L77" s="71">
        <v>5</v>
      </c>
      <c r="M77" s="71"/>
      <c r="N77" s="71"/>
      <c r="O77" s="71"/>
      <c r="P77" s="71"/>
      <c r="Q77" s="71">
        <v>0</v>
      </c>
      <c r="R77" s="71">
        <v>62</v>
      </c>
    </row>
    <row r="78" spans="1:18" x14ac:dyDescent="0.25">
      <c r="A78" s="58"/>
      <c r="B78" s="58" t="s">
        <v>795</v>
      </c>
      <c r="C78" s="58"/>
      <c r="D78" s="58"/>
      <c r="E78" s="58">
        <v>0</v>
      </c>
      <c r="F78" s="58">
        <v>3</v>
      </c>
      <c r="G78" s="58">
        <v>0</v>
      </c>
      <c r="H78" s="58">
        <v>3</v>
      </c>
      <c r="I78" s="58"/>
      <c r="J78" s="58"/>
      <c r="K78" s="58"/>
      <c r="L78" s="58"/>
      <c r="M78" s="58"/>
      <c r="N78" s="58"/>
      <c r="O78" s="58"/>
      <c r="P78" s="58"/>
      <c r="Q78" s="58">
        <v>0</v>
      </c>
      <c r="R78" s="58">
        <v>6</v>
      </c>
    </row>
    <row r="79" spans="1:18" x14ac:dyDescent="0.25">
      <c r="A79" s="58"/>
      <c r="B79" s="58" t="s">
        <v>796</v>
      </c>
      <c r="C79" s="58">
        <v>0</v>
      </c>
      <c r="D79" s="58">
        <v>59.235939999999999</v>
      </c>
      <c r="E79" s="58">
        <v>0</v>
      </c>
      <c r="F79" s="58">
        <v>67.241689999999991</v>
      </c>
      <c r="G79" s="58">
        <v>0</v>
      </c>
      <c r="H79" s="58">
        <v>0.51380000000000003</v>
      </c>
      <c r="I79" s="58"/>
      <c r="J79" s="58"/>
      <c r="K79" s="58"/>
      <c r="L79" s="58"/>
      <c r="M79" s="58"/>
      <c r="N79" s="58"/>
      <c r="O79" s="58"/>
      <c r="P79" s="58"/>
      <c r="Q79" s="58">
        <v>0</v>
      </c>
      <c r="R79" s="58">
        <v>126.99142999999999</v>
      </c>
    </row>
    <row r="80" spans="1:18" x14ac:dyDescent="0.25">
      <c r="A80" s="58"/>
      <c r="B80" s="71" t="s">
        <v>797</v>
      </c>
      <c r="C80" s="71">
        <v>0</v>
      </c>
      <c r="D80" s="71">
        <v>95.434290000000018</v>
      </c>
      <c r="E80" s="71">
        <v>0</v>
      </c>
      <c r="F80" s="71">
        <v>125.74518999999999</v>
      </c>
      <c r="G80" s="71">
        <v>0</v>
      </c>
      <c r="H80" s="71">
        <v>187.10532000000001</v>
      </c>
      <c r="I80" s="71">
        <v>0</v>
      </c>
      <c r="J80" s="71">
        <v>195.28157999999996</v>
      </c>
      <c r="K80" s="71">
        <v>0</v>
      </c>
      <c r="L80" s="71">
        <v>150.55706000000001</v>
      </c>
      <c r="M80" s="71">
        <v>0</v>
      </c>
      <c r="N80" s="71">
        <v>55.217749999999995</v>
      </c>
      <c r="O80" s="71"/>
      <c r="P80" s="71"/>
      <c r="Q80" s="71">
        <v>0</v>
      </c>
      <c r="R80" s="71">
        <v>809.34118999999998</v>
      </c>
    </row>
    <row r="81" spans="1:18" x14ac:dyDescent="0.25">
      <c r="A81" s="58"/>
      <c r="B81" s="58" t="s">
        <v>798</v>
      </c>
      <c r="C81" s="58"/>
      <c r="D81" s="58"/>
      <c r="E81" s="58">
        <v>0</v>
      </c>
      <c r="F81" s="58">
        <v>7.18</v>
      </c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>
        <v>0</v>
      </c>
      <c r="R81" s="58">
        <v>7.18</v>
      </c>
    </row>
    <row r="82" spans="1:18" x14ac:dyDescent="0.25">
      <c r="A82" s="58"/>
      <c r="B82" s="70" t="s">
        <v>799</v>
      </c>
      <c r="C82" s="70">
        <v>0</v>
      </c>
      <c r="D82" s="70">
        <v>12.5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>
        <v>0</v>
      </c>
      <c r="R82" s="70">
        <v>12.5</v>
      </c>
    </row>
    <row r="83" spans="1:18" x14ac:dyDescent="0.25">
      <c r="A83" s="58"/>
      <c r="B83" s="58" t="s">
        <v>800</v>
      </c>
      <c r="C83" s="58"/>
      <c r="D83" s="58"/>
      <c r="E83" s="58">
        <v>0</v>
      </c>
      <c r="F83" s="58">
        <v>5.557436</v>
      </c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>
        <v>0</v>
      </c>
      <c r="R83" s="58">
        <v>5.557436</v>
      </c>
    </row>
    <row r="84" spans="1:18" x14ac:dyDescent="0.25">
      <c r="A84" s="58"/>
      <c r="B84" s="71" t="s">
        <v>801</v>
      </c>
      <c r="C84" s="71">
        <v>0</v>
      </c>
      <c r="D84" s="71">
        <v>19.977519999999998</v>
      </c>
      <c r="E84" s="71">
        <v>0</v>
      </c>
      <c r="F84" s="71">
        <v>55.511780000000002</v>
      </c>
      <c r="G84" s="71">
        <v>0</v>
      </c>
      <c r="H84" s="71">
        <v>51</v>
      </c>
      <c r="I84" s="71">
        <v>0</v>
      </c>
      <c r="J84" s="71">
        <v>45.807729999999999</v>
      </c>
      <c r="K84" s="71">
        <v>0</v>
      </c>
      <c r="L84" s="71">
        <v>65.309370000000001</v>
      </c>
      <c r="M84" s="71">
        <v>0</v>
      </c>
      <c r="N84" s="71">
        <v>14</v>
      </c>
      <c r="O84" s="71"/>
      <c r="P84" s="71"/>
      <c r="Q84" s="71">
        <v>0</v>
      </c>
      <c r="R84" s="71">
        <v>251.60640000000001</v>
      </c>
    </row>
    <row r="85" spans="1:18" x14ac:dyDescent="0.25">
      <c r="A85" s="58"/>
      <c r="B85" s="67" t="s">
        <v>802</v>
      </c>
      <c r="C85" s="67">
        <v>0</v>
      </c>
      <c r="D85" s="67">
        <v>25</v>
      </c>
      <c r="E85" s="67">
        <v>0</v>
      </c>
      <c r="F85" s="67">
        <v>25</v>
      </c>
      <c r="G85" s="67"/>
      <c r="H85" s="67"/>
      <c r="I85" s="67">
        <v>0</v>
      </c>
      <c r="J85" s="67">
        <v>25</v>
      </c>
      <c r="K85" s="67">
        <v>0</v>
      </c>
      <c r="L85" s="67">
        <v>50</v>
      </c>
      <c r="M85" s="67">
        <v>0</v>
      </c>
      <c r="N85" s="67">
        <v>10.176342400000001</v>
      </c>
      <c r="O85" s="67"/>
      <c r="P85" s="67"/>
      <c r="Q85" s="67">
        <v>0</v>
      </c>
      <c r="R85" s="67">
        <v>135.17634240000001</v>
      </c>
    </row>
    <row r="86" spans="1:18" x14ac:dyDescent="0.25">
      <c r="A86" s="58"/>
      <c r="B86" s="58" t="s">
        <v>803</v>
      </c>
      <c r="C86" s="58">
        <v>0</v>
      </c>
      <c r="D86" s="58">
        <v>25</v>
      </c>
      <c r="E86" s="58"/>
      <c r="F86" s="58"/>
      <c r="G86" s="58"/>
      <c r="H86" s="58"/>
      <c r="I86" s="58"/>
      <c r="J86" s="58"/>
      <c r="K86" s="58"/>
      <c r="L86" s="58"/>
      <c r="M86" s="58">
        <v>0</v>
      </c>
      <c r="N86" s="58">
        <v>30</v>
      </c>
      <c r="O86" s="58"/>
      <c r="P86" s="58"/>
      <c r="Q86" s="58">
        <v>0</v>
      </c>
      <c r="R86" s="58">
        <v>55</v>
      </c>
    </row>
    <row r="87" spans="1:18" x14ac:dyDescent="0.25">
      <c r="A87" s="58"/>
      <c r="B87" s="70" t="s">
        <v>807</v>
      </c>
      <c r="C87" s="70"/>
      <c r="D87" s="70"/>
      <c r="E87" s="70">
        <v>0</v>
      </c>
      <c r="F87" s="70">
        <v>17.28</v>
      </c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>
        <v>0</v>
      </c>
      <c r="R87" s="70">
        <v>17.28</v>
      </c>
    </row>
    <row r="88" spans="1:18" x14ac:dyDescent="0.25">
      <c r="A88" s="61" t="s">
        <v>831</v>
      </c>
      <c r="B88" s="61"/>
      <c r="C88" s="61">
        <v>0</v>
      </c>
      <c r="D88" s="61">
        <v>263.14774999999997</v>
      </c>
      <c r="E88" s="61">
        <v>0</v>
      </c>
      <c r="F88" s="61">
        <v>350.70610599999998</v>
      </c>
      <c r="G88" s="61">
        <v>0</v>
      </c>
      <c r="H88" s="61">
        <v>276.61912000000001</v>
      </c>
      <c r="I88" s="61">
        <v>0</v>
      </c>
      <c r="J88" s="61">
        <v>305.08930999999995</v>
      </c>
      <c r="K88" s="61">
        <v>0</v>
      </c>
      <c r="L88" s="61">
        <v>277.86643000000004</v>
      </c>
      <c r="M88" s="61">
        <v>0</v>
      </c>
      <c r="N88" s="61">
        <v>109.39409239999999</v>
      </c>
      <c r="O88" s="61"/>
      <c r="P88" s="61"/>
      <c r="Q88" s="61">
        <v>0</v>
      </c>
      <c r="R88" s="61">
        <v>1582.8228084</v>
      </c>
    </row>
    <row r="89" spans="1:18" x14ac:dyDescent="0.25">
      <c r="A89" s="58" t="s">
        <v>813</v>
      </c>
      <c r="B89" s="58" t="s">
        <v>813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</row>
    <row r="90" spans="1:18" x14ac:dyDescent="0.25">
      <c r="A90" s="61" t="s">
        <v>832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</row>
    <row r="91" spans="1:18" x14ac:dyDescent="0.25">
      <c r="A91" s="58" t="s">
        <v>814</v>
      </c>
      <c r="B91" s="58"/>
      <c r="C91" s="58">
        <v>464.03256540000007</v>
      </c>
      <c r="D91" s="58">
        <v>477.24778000000003</v>
      </c>
      <c r="E91" s="58">
        <v>463.80731210000005</v>
      </c>
      <c r="F91" s="58">
        <v>455.40610599999991</v>
      </c>
      <c r="G91" s="58">
        <v>325.19360360000002</v>
      </c>
      <c r="H91" s="58">
        <v>326.91334000000001</v>
      </c>
      <c r="I91" s="58">
        <v>426.11296720000007</v>
      </c>
      <c r="J91" s="58">
        <v>429.03930999999994</v>
      </c>
      <c r="K91" s="58">
        <v>356.74195000000003</v>
      </c>
      <c r="L91" s="58">
        <v>381.98232999999999</v>
      </c>
      <c r="M91" s="58">
        <v>201.5331808</v>
      </c>
      <c r="N91" s="58">
        <v>180.06852240000001</v>
      </c>
      <c r="O91" s="58"/>
      <c r="P91" s="58"/>
      <c r="Q91" s="58">
        <v>2237.4215791000001</v>
      </c>
      <c r="R91" s="58">
        <v>2250.6573884000004</v>
      </c>
    </row>
  </sheetData>
  <mergeCells count="2">
    <mergeCell ref="D1:L3"/>
    <mergeCell ref="A5:B5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7"/>
  <sheetViews>
    <sheetView zoomScaleNormal="100" workbookViewId="0">
      <selection activeCell="D37" sqref="D37:F48"/>
    </sheetView>
  </sheetViews>
  <sheetFormatPr defaultRowHeight="15" x14ac:dyDescent="0.25"/>
  <cols>
    <col min="1" max="1" width="8" customWidth="1"/>
    <col min="2" max="3" width="10" customWidth="1"/>
    <col min="4" max="5" width="12" customWidth="1"/>
    <col min="6" max="6" width="35" customWidth="1"/>
    <col min="7" max="7" width="50" customWidth="1"/>
    <col min="8" max="9" width="15" customWidth="1"/>
    <col min="10" max="10" width="18" customWidth="1"/>
  </cols>
  <sheetData>
    <row r="1" spans="1:13" ht="20.100000000000001" customHeight="1" x14ac:dyDescent="0.25">
      <c r="A1" s="17" t="s">
        <v>79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84</v>
      </c>
      <c r="G1" s="18" t="s">
        <v>85</v>
      </c>
      <c r="H1" s="19" t="s">
        <v>86</v>
      </c>
      <c r="I1" s="19" t="s">
        <v>87</v>
      </c>
      <c r="J1" s="19" t="s">
        <v>88</v>
      </c>
    </row>
    <row r="2" spans="1:13" x14ac:dyDescent="0.25">
      <c r="A2" s="20">
        <v>1</v>
      </c>
      <c r="B2" s="21">
        <v>45870</v>
      </c>
      <c r="C2" s="20" t="s">
        <v>89</v>
      </c>
      <c r="D2" s="20" t="s">
        <v>497</v>
      </c>
      <c r="E2" s="20"/>
      <c r="F2" s="22" t="s">
        <v>796</v>
      </c>
      <c r="G2" s="23" t="s">
        <v>90</v>
      </c>
      <c r="H2" s="57">
        <v>0</v>
      </c>
      <c r="I2" s="57">
        <v>2.5</v>
      </c>
      <c r="J2" s="24">
        <v>305906.55</v>
      </c>
    </row>
    <row r="3" spans="1:13" x14ac:dyDescent="0.25">
      <c r="A3" s="20">
        <v>2</v>
      </c>
      <c r="B3" s="21">
        <v>45870</v>
      </c>
      <c r="C3" s="20" t="s">
        <v>89</v>
      </c>
      <c r="D3" s="20" t="s">
        <v>91</v>
      </c>
      <c r="E3" s="20"/>
      <c r="F3" s="22" t="s">
        <v>92</v>
      </c>
      <c r="G3" s="23" t="s">
        <v>93</v>
      </c>
      <c r="H3" s="57">
        <v>2.95</v>
      </c>
      <c r="I3" s="57">
        <v>0</v>
      </c>
      <c r="J3" s="24">
        <v>10906.55</v>
      </c>
    </row>
    <row r="4" spans="1:13" x14ac:dyDescent="0.25">
      <c r="A4" s="20">
        <v>3</v>
      </c>
      <c r="B4" s="21">
        <v>45870</v>
      </c>
      <c r="C4" s="20" t="s">
        <v>89</v>
      </c>
      <c r="D4" s="20" t="s">
        <v>497</v>
      </c>
      <c r="E4" s="20"/>
      <c r="F4" s="22" t="s">
        <v>797</v>
      </c>
      <c r="G4" s="23" t="s">
        <v>94</v>
      </c>
      <c r="H4" s="57">
        <v>0</v>
      </c>
      <c r="I4" s="57">
        <v>9.0455799999999993</v>
      </c>
      <c r="J4" s="24">
        <v>915464.55</v>
      </c>
    </row>
    <row r="5" spans="1:13" x14ac:dyDescent="0.25">
      <c r="A5" s="20">
        <v>4</v>
      </c>
      <c r="B5" s="21">
        <v>45870</v>
      </c>
      <c r="C5" s="20" t="s">
        <v>89</v>
      </c>
      <c r="D5" s="20" t="s">
        <v>91</v>
      </c>
      <c r="E5" s="20"/>
      <c r="F5" s="22" t="s">
        <v>92</v>
      </c>
      <c r="G5" s="23" t="s">
        <v>95</v>
      </c>
      <c r="H5" s="57">
        <v>0</v>
      </c>
      <c r="I5" s="57">
        <v>18</v>
      </c>
      <c r="J5" s="24">
        <v>2715464.55</v>
      </c>
    </row>
    <row r="6" spans="1:13" ht="25.5" x14ac:dyDescent="0.25">
      <c r="A6" s="20">
        <v>5</v>
      </c>
      <c r="B6" s="21">
        <v>45870</v>
      </c>
      <c r="C6" s="20" t="s">
        <v>89</v>
      </c>
      <c r="D6" s="20" t="s">
        <v>759</v>
      </c>
      <c r="E6" s="20"/>
      <c r="F6" s="22" t="s">
        <v>774</v>
      </c>
      <c r="G6" s="23" t="s">
        <v>96</v>
      </c>
      <c r="H6" s="57">
        <v>26</v>
      </c>
      <c r="I6" s="57">
        <v>0</v>
      </c>
      <c r="J6" s="24">
        <v>115464.55</v>
      </c>
    </row>
    <row r="7" spans="1:13" x14ac:dyDescent="0.25">
      <c r="A7" s="20">
        <v>6</v>
      </c>
      <c r="B7" s="21">
        <v>45871</v>
      </c>
      <c r="C7" s="20" t="s">
        <v>89</v>
      </c>
      <c r="D7" s="20" t="s">
        <v>497</v>
      </c>
      <c r="E7" s="20"/>
      <c r="F7" s="22" t="s">
        <v>796</v>
      </c>
      <c r="G7" s="23" t="s">
        <v>97</v>
      </c>
      <c r="H7" s="57">
        <v>0</v>
      </c>
      <c r="I7" s="57">
        <v>0.20463999999999999</v>
      </c>
      <c r="J7" s="24">
        <v>135928.54999999999</v>
      </c>
      <c r="M7">
        <v>100000</v>
      </c>
    </row>
    <row r="8" spans="1:13" x14ac:dyDescent="0.25">
      <c r="A8" s="20">
        <v>7</v>
      </c>
      <c r="B8" s="21">
        <v>45871</v>
      </c>
      <c r="C8" s="20" t="s">
        <v>89</v>
      </c>
      <c r="D8" s="20" t="s">
        <v>91</v>
      </c>
      <c r="E8" s="20"/>
      <c r="F8" s="22" t="s">
        <v>92</v>
      </c>
      <c r="G8" s="23" t="s">
        <v>95</v>
      </c>
      <c r="H8" s="57">
        <v>0</v>
      </c>
      <c r="I8" s="57">
        <v>0.1</v>
      </c>
      <c r="J8" s="24">
        <v>145928.54999999999</v>
      </c>
    </row>
    <row r="9" spans="1:13" x14ac:dyDescent="0.25">
      <c r="A9" s="20">
        <v>8</v>
      </c>
      <c r="B9" s="21">
        <v>45871</v>
      </c>
      <c r="C9" s="20" t="s">
        <v>89</v>
      </c>
      <c r="D9" s="20" t="s">
        <v>787</v>
      </c>
      <c r="E9" s="20">
        <v>1544060</v>
      </c>
      <c r="F9" s="22" t="s">
        <v>763</v>
      </c>
      <c r="G9" s="23" t="s">
        <v>98</v>
      </c>
      <c r="H9" s="57">
        <v>1.1299999999999999</v>
      </c>
      <c r="I9" s="57">
        <v>0</v>
      </c>
      <c r="J9" s="24">
        <v>32928.550000000003</v>
      </c>
    </row>
    <row r="10" spans="1:13" x14ac:dyDescent="0.25">
      <c r="A10" s="20">
        <v>9</v>
      </c>
      <c r="B10" s="21">
        <v>45873</v>
      </c>
      <c r="C10" s="20" t="s">
        <v>89</v>
      </c>
      <c r="D10" s="20" t="s">
        <v>91</v>
      </c>
      <c r="E10" s="20"/>
      <c r="F10" s="22" t="s">
        <v>92</v>
      </c>
      <c r="G10" s="23" t="s">
        <v>95</v>
      </c>
      <c r="H10" s="57">
        <v>0</v>
      </c>
      <c r="I10" s="57">
        <v>42</v>
      </c>
      <c r="J10" s="24">
        <v>4232928.55</v>
      </c>
    </row>
    <row r="11" spans="1:13" ht="25.5" x14ac:dyDescent="0.25">
      <c r="A11" s="20">
        <v>10</v>
      </c>
      <c r="B11" s="21">
        <v>45873</v>
      </c>
      <c r="C11" s="20" t="s">
        <v>89</v>
      </c>
      <c r="D11" s="20" t="s">
        <v>759</v>
      </c>
      <c r="E11" s="20"/>
      <c r="F11" s="22" t="s">
        <v>774</v>
      </c>
      <c r="G11" s="23" t="s">
        <v>99</v>
      </c>
      <c r="H11" s="57">
        <v>39.447830000000003</v>
      </c>
      <c r="I11" s="57">
        <v>0</v>
      </c>
      <c r="J11" s="24">
        <v>288145.55</v>
      </c>
    </row>
    <row r="12" spans="1:13" ht="25.5" x14ac:dyDescent="0.25">
      <c r="A12" s="20">
        <v>11</v>
      </c>
      <c r="B12" s="21">
        <v>45873</v>
      </c>
      <c r="C12" s="20" t="s">
        <v>89</v>
      </c>
      <c r="D12" s="20" t="s">
        <v>759</v>
      </c>
      <c r="E12" s="20"/>
      <c r="F12" s="22" t="s">
        <v>780</v>
      </c>
      <c r="G12" s="23" t="s">
        <v>100</v>
      </c>
      <c r="H12" s="57">
        <v>1.5</v>
      </c>
      <c r="I12" s="57">
        <v>0</v>
      </c>
      <c r="J12" s="24">
        <v>138145.54999999999</v>
      </c>
    </row>
    <row r="13" spans="1:13" ht="25.5" x14ac:dyDescent="0.25">
      <c r="A13" s="20">
        <v>12</v>
      </c>
      <c r="B13" s="21">
        <v>45873</v>
      </c>
      <c r="C13" s="20" t="s">
        <v>89</v>
      </c>
      <c r="D13" s="20" t="s">
        <v>91</v>
      </c>
      <c r="E13" s="20"/>
      <c r="F13" s="22" t="s">
        <v>92</v>
      </c>
      <c r="G13" s="23" t="s">
        <v>101</v>
      </c>
      <c r="H13" s="57">
        <v>0</v>
      </c>
      <c r="I13" s="57">
        <v>15</v>
      </c>
      <c r="J13" s="24">
        <v>1638145.55</v>
      </c>
    </row>
    <row r="14" spans="1:13" ht="25.5" x14ac:dyDescent="0.25">
      <c r="A14" s="20">
        <v>13</v>
      </c>
      <c r="B14" s="21">
        <v>45873</v>
      </c>
      <c r="C14" s="20" t="s">
        <v>89</v>
      </c>
      <c r="D14" s="20" t="s">
        <v>759</v>
      </c>
      <c r="E14" s="20"/>
      <c r="F14" s="22" t="s">
        <v>765</v>
      </c>
      <c r="G14" s="23" t="s">
        <v>102</v>
      </c>
      <c r="H14" s="57">
        <v>7.74</v>
      </c>
      <c r="I14" s="57">
        <v>0</v>
      </c>
      <c r="J14" s="24">
        <v>864145.55</v>
      </c>
    </row>
    <row r="15" spans="1:13" x14ac:dyDescent="0.25">
      <c r="A15" s="20">
        <v>14</v>
      </c>
      <c r="B15" s="21">
        <v>45874</v>
      </c>
      <c r="C15" s="20" t="s">
        <v>89</v>
      </c>
      <c r="D15" s="20" t="s">
        <v>809</v>
      </c>
      <c r="E15" s="20"/>
      <c r="F15" s="22" t="s">
        <v>808</v>
      </c>
      <c r="G15" s="23" t="s">
        <v>103</v>
      </c>
      <c r="H15" s="57">
        <v>0</v>
      </c>
      <c r="I15" s="57">
        <v>1.0000000000000001E-5</v>
      </c>
      <c r="J15" s="24">
        <v>864146.55</v>
      </c>
    </row>
    <row r="16" spans="1:13" x14ac:dyDescent="0.25">
      <c r="A16" s="20">
        <v>15</v>
      </c>
      <c r="B16" s="21">
        <v>45874</v>
      </c>
      <c r="C16" s="20" t="s">
        <v>89</v>
      </c>
      <c r="D16" s="20" t="s">
        <v>497</v>
      </c>
      <c r="E16" s="20"/>
      <c r="F16" s="22" t="s">
        <v>796</v>
      </c>
      <c r="G16" s="23" t="s">
        <v>104</v>
      </c>
      <c r="H16" s="57">
        <v>0</v>
      </c>
      <c r="I16" s="57">
        <v>6.5</v>
      </c>
      <c r="J16" s="24">
        <v>1514146.55</v>
      </c>
    </row>
    <row r="17" spans="1:10" x14ac:dyDescent="0.25">
      <c r="A17" s="20">
        <v>16</v>
      </c>
      <c r="B17" s="21">
        <v>45874</v>
      </c>
      <c r="C17" s="20" t="s">
        <v>89</v>
      </c>
      <c r="D17" s="25" t="s">
        <v>759</v>
      </c>
      <c r="E17" s="20"/>
      <c r="F17" s="22" t="s">
        <v>773</v>
      </c>
      <c r="G17" s="23" t="s">
        <v>105</v>
      </c>
      <c r="H17" s="57">
        <v>2.3712599999999999</v>
      </c>
      <c r="I17" s="57">
        <v>0</v>
      </c>
      <c r="J17" s="24">
        <v>1277020.55</v>
      </c>
    </row>
    <row r="18" spans="1:10" x14ac:dyDescent="0.25">
      <c r="A18" s="20">
        <v>17</v>
      </c>
      <c r="B18" s="21">
        <v>45874</v>
      </c>
      <c r="C18" s="20" t="s">
        <v>89</v>
      </c>
      <c r="D18" s="25" t="s">
        <v>759</v>
      </c>
      <c r="E18" s="20"/>
      <c r="F18" s="22" t="s">
        <v>776</v>
      </c>
      <c r="G18" s="23" t="s">
        <v>106</v>
      </c>
      <c r="H18" s="57">
        <v>0.94232000000000005</v>
      </c>
      <c r="I18" s="57">
        <v>0</v>
      </c>
      <c r="J18" s="24">
        <v>1182788.55</v>
      </c>
    </row>
    <row r="19" spans="1:10" x14ac:dyDescent="0.25">
      <c r="A19" s="20">
        <v>18</v>
      </c>
      <c r="B19" s="21">
        <v>45874</v>
      </c>
      <c r="C19" s="20" t="s">
        <v>89</v>
      </c>
      <c r="D19" s="20" t="s">
        <v>759</v>
      </c>
      <c r="E19" s="20"/>
      <c r="F19" s="22" t="s">
        <v>766</v>
      </c>
      <c r="G19" s="23" t="s">
        <v>107</v>
      </c>
      <c r="H19" s="57">
        <v>0.83308000000000004</v>
      </c>
      <c r="I19" s="57">
        <v>0</v>
      </c>
      <c r="J19" s="24">
        <v>1099480.55</v>
      </c>
    </row>
    <row r="20" spans="1:10" x14ac:dyDescent="0.25">
      <c r="A20" s="20">
        <v>19</v>
      </c>
      <c r="B20" s="21">
        <v>45874</v>
      </c>
      <c r="C20" s="20" t="s">
        <v>89</v>
      </c>
      <c r="D20" s="25" t="s">
        <v>759</v>
      </c>
      <c r="E20" s="20"/>
      <c r="F20" s="22" t="s">
        <v>769</v>
      </c>
      <c r="G20" s="23" t="s">
        <v>108</v>
      </c>
      <c r="H20" s="57">
        <v>1.2325200000000001</v>
      </c>
      <c r="I20" s="57">
        <v>0</v>
      </c>
      <c r="J20" s="24">
        <v>976228.55</v>
      </c>
    </row>
    <row r="21" spans="1:10" x14ac:dyDescent="0.25">
      <c r="A21" s="20">
        <v>20</v>
      </c>
      <c r="B21" s="21">
        <v>45874</v>
      </c>
      <c r="C21" s="20" t="s">
        <v>89</v>
      </c>
      <c r="D21" s="20" t="s">
        <v>759</v>
      </c>
      <c r="E21" s="20"/>
      <c r="F21" s="22" t="s">
        <v>784</v>
      </c>
      <c r="G21" s="23" t="s">
        <v>109</v>
      </c>
      <c r="H21" s="57">
        <v>0.66</v>
      </c>
      <c r="I21" s="57">
        <v>0</v>
      </c>
      <c r="J21" s="24">
        <v>910228.55</v>
      </c>
    </row>
    <row r="22" spans="1:10" x14ac:dyDescent="0.25">
      <c r="A22" s="20">
        <v>21</v>
      </c>
      <c r="B22" s="21">
        <v>45874</v>
      </c>
      <c r="C22" s="20" t="s">
        <v>89</v>
      </c>
      <c r="D22" s="20" t="s">
        <v>809</v>
      </c>
      <c r="E22" s="20"/>
      <c r="F22" s="22" t="s">
        <v>808</v>
      </c>
      <c r="G22" s="23" t="s">
        <v>110</v>
      </c>
      <c r="H22" s="57">
        <v>0</v>
      </c>
      <c r="I22" s="57">
        <v>25</v>
      </c>
      <c r="J22" s="24">
        <v>3410228.55</v>
      </c>
    </row>
    <row r="23" spans="1:10" x14ac:dyDescent="0.25">
      <c r="A23" s="20">
        <v>22</v>
      </c>
      <c r="B23" s="21">
        <v>45874</v>
      </c>
      <c r="C23" s="20" t="s">
        <v>89</v>
      </c>
      <c r="D23" s="20" t="s">
        <v>759</v>
      </c>
      <c r="E23" s="20"/>
      <c r="F23" s="22" t="s">
        <v>789</v>
      </c>
      <c r="G23" s="23" t="s">
        <v>111</v>
      </c>
      <c r="H23" s="57">
        <v>0.2</v>
      </c>
      <c r="I23" s="57">
        <v>0</v>
      </c>
      <c r="J23" s="24">
        <v>3390228.55</v>
      </c>
    </row>
    <row r="24" spans="1:10" x14ac:dyDescent="0.25">
      <c r="A24" s="20">
        <v>23</v>
      </c>
      <c r="B24" s="21">
        <v>45874</v>
      </c>
      <c r="C24" s="20" t="s">
        <v>89</v>
      </c>
      <c r="D24" s="20" t="s">
        <v>787</v>
      </c>
      <c r="E24" s="20">
        <v>1544063</v>
      </c>
      <c r="F24" s="22" t="s">
        <v>790</v>
      </c>
      <c r="G24" s="23" t="s">
        <v>112</v>
      </c>
      <c r="H24" s="57">
        <v>1</v>
      </c>
      <c r="I24" s="57">
        <v>0</v>
      </c>
      <c r="J24" s="24">
        <v>3290228.55</v>
      </c>
    </row>
    <row r="25" spans="1:10" x14ac:dyDescent="0.25">
      <c r="A25" s="20">
        <v>24</v>
      </c>
      <c r="B25" s="21">
        <v>45874</v>
      </c>
      <c r="C25" s="20" t="s">
        <v>89</v>
      </c>
      <c r="D25" s="20" t="s">
        <v>759</v>
      </c>
      <c r="E25" s="20"/>
      <c r="F25" s="22" t="s">
        <v>778</v>
      </c>
      <c r="G25" s="23" t="s">
        <v>113</v>
      </c>
      <c r="H25" s="57">
        <v>14</v>
      </c>
      <c r="I25" s="57">
        <v>0</v>
      </c>
      <c r="J25" s="24">
        <v>1890228.55</v>
      </c>
    </row>
    <row r="26" spans="1:10" x14ac:dyDescent="0.25">
      <c r="A26" s="20">
        <v>25</v>
      </c>
      <c r="B26" s="21">
        <v>45874</v>
      </c>
      <c r="C26" s="20" t="s">
        <v>89</v>
      </c>
      <c r="D26" s="20" t="s">
        <v>759</v>
      </c>
      <c r="E26" s="20"/>
      <c r="F26" s="22" t="s">
        <v>789</v>
      </c>
      <c r="G26" s="23" t="s">
        <v>114</v>
      </c>
      <c r="H26" s="57">
        <v>0.19139540000000002</v>
      </c>
      <c r="I26" s="57">
        <v>0</v>
      </c>
      <c r="J26" s="24">
        <v>1871089.01</v>
      </c>
    </row>
    <row r="27" spans="1:10" x14ac:dyDescent="0.25">
      <c r="A27" s="20">
        <v>26</v>
      </c>
      <c r="B27" s="21">
        <v>45874</v>
      </c>
      <c r="C27" s="20" t="s">
        <v>89</v>
      </c>
      <c r="D27" s="20" t="s">
        <v>91</v>
      </c>
      <c r="E27" s="20"/>
      <c r="F27" s="22" t="s">
        <v>92</v>
      </c>
      <c r="G27" s="23" t="s">
        <v>115</v>
      </c>
      <c r="H27" s="57">
        <v>18</v>
      </c>
      <c r="I27" s="57">
        <v>0</v>
      </c>
      <c r="J27" s="24">
        <v>71089.009999999995</v>
      </c>
    </row>
    <row r="28" spans="1:10" x14ac:dyDescent="0.25">
      <c r="A28" s="20">
        <v>27</v>
      </c>
      <c r="B28" s="21">
        <v>45875</v>
      </c>
      <c r="C28" s="20" t="s">
        <v>89</v>
      </c>
      <c r="D28" s="20" t="s">
        <v>497</v>
      </c>
      <c r="E28" s="20"/>
      <c r="F28" s="22" t="s">
        <v>796</v>
      </c>
      <c r="G28" s="23" t="s">
        <v>116</v>
      </c>
      <c r="H28" s="57">
        <v>0</v>
      </c>
      <c r="I28" s="57">
        <v>5</v>
      </c>
      <c r="J28" s="24">
        <v>571089.01</v>
      </c>
    </row>
    <row r="29" spans="1:10" x14ac:dyDescent="0.25">
      <c r="A29" s="20">
        <v>28</v>
      </c>
      <c r="B29" s="21">
        <v>45875</v>
      </c>
      <c r="C29" s="20" t="s">
        <v>89</v>
      </c>
      <c r="D29" s="20" t="s">
        <v>497</v>
      </c>
      <c r="E29" s="20"/>
      <c r="F29" s="22" t="s">
        <v>791</v>
      </c>
      <c r="G29" s="23" t="s">
        <v>117</v>
      </c>
      <c r="H29" s="57">
        <v>0</v>
      </c>
      <c r="I29" s="57">
        <v>0.01</v>
      </c>
      <c r="J29" s="24">
        <v>572089.01</v>
      </c>
    </row>
    <row r="30" spans="1:10" x14ac:dyDescent="0.25">
      <c r="A30" s="20">
        <v>29</v>
      </c>
      <c r="B30" s="21">
        <v>45875</v>
      </c>
      <c r="C30" s="20" t="s">
        <v>89</v>
      </c>
      <c r="D30" s="20" t="s">
        <v>497</v>
      </c>
      <c r="E30" s="20"/>
      <c r="F30" s="22" t="s">
        <v>797</v>
      </c>
      <c r="G30" s="23" t="s">
        <v>118</v>
      </c>
      <c r="H30" s="57">
        <v>0</v>
      </c>
      <c r="I30" s="57">
        <v>13.80475</v>
      </c>
      <c r="J30" s="24">
        <v>1952564.01</v>
      </c>
    </row>
    <row r="31" spans="1:10" x14ac:dyDescent="0.25">
      <c r="A31" s="20">
        <v>30</v>
      </c>
      <c r="B31" s="21">
        <v>45875</v>
      </c>
      <c r="C31" s="20" t="s">
        <v>89</v>
      </c>
      <c r="D31" s="20" t="s">
        <v>809</v>
      </c>
      <c r="E31" s="20"/>
      <c r="F31" s="22" t="s">
        <v>806</v>
      </c>
      <c r="G31" s="23" t="s">
        <v>119</v>
      </c>
      <c r="H31" s="57">
        <v>0</v>
      </c>
      <c r="I31" s="57">
        <v>10</v>
      </c>
      <c r="J31" s="24">
        <v>2952564.01</v>
      </c>
    </row>
    <row r="32" spans="1:10" x14ac:dyDescent="0.25">
      <c r="A32" s="20">
        <v>31</v>
      </c>
      <c r="B32" s="21">
        <v>45875</v>
      </c>
      <c r="C32" s="20" t="s">
        <v>89</v>
      </c>
      <c r="D32" s="20" t="s">
        <v>809</v>
      </c>
      <c r="E32" s="20"/>
      <c r="F32" s="22" t="s">
        <v>805</v>
      </c>
      <c r="G32" s="23" t="s">
        <v>120</v>
      </c>
      <c r="H32" s="57">
        <v>0</v>
      </c>
      <c r="I32" s="57">
        <v>10</v>
      </c>
      <c r="J32" s="24">
        <v>3952564.01</v>
      </c>
    </row>
    <row r="33" spans="1:10" ht="25.5" x14ac:dyDescent="0.25">
      <c r="A33" s="20">
        <v>32</v>
      </c>
      <c r="B33" s="21">
        <v>45875</v>
      </c>
      <c r="C33" s="20" t="s">
        <v>89</v>
      </c>
      <c r="D33" s="20" t="s">
        <v>759</v>
      </c>
      <c r="E33" s="20"/>
      <c r="F33" s="22" t="s">
        <v>774</v>
      </c>
      <c r="G33" s="23" t="s">
        <v>121</v>
      </c>
      <c r="H33" s="57">
        <v>15</v>
      </c>
      <c r="I33" s="57">
        <v>0</v>
      </c>
      <c r="J33" s="24">
        <v>2452564.0099999998</v>
      </c>
    </row>
    <row r="34" spans="1:10" x14ac:dyDescent="0.25">
      <c r="A34" s="20">
        <v>33</v>
      </c>
      <c r="B34" s="21">
        <v>45875</v>
      </c>
      <c r="C34" s="20" t="s">
        <v>89</v>
      </c>
      <c r="D34" s="20" t="s">
        <v>497</v>
      </c>
      <c r="E34" s="20"/>
      <c r="F34" s="22" t="s">
        <v>791</v>
      </c>
      <c r="G34" s="23" t="s">
        <v>122</v>
      </c>
      <c r="H34" s="57">
        <v>0</v>
      </c>
      <c r="I34" s="57">
        <v>4.99</v>
      </c>
      <c r="J34" s="24">
        <v>2951564.01</v>
      </c>
    </row>
    <row r="35" spans="1:10" x14ac:dyDescent="0.25">
      <c r="A35" s="20">
        <v>34</v>
      </c>
      <c r="B35" s="21">
        <v>45875</v>
      </c>
      <c r="C35" s="20" t="s">
        <v>89</v>
      </c>
      <c r="D35" s="20" t="s">
        <v>497</v>
      </c>
      <c r="E35" s="20"/>
      <c r="F35" s="22" t="s">
        <v>799</v>
      </c>
      <c r="G35" s="23" t="s">
        <v>123</v>
      </c>
      <c r="H35" s="57">
        <v>0</v>
      </c>
      <c r="I35" s="57">
        <v>7.5</v>
      </c>
      <c r="J35" s="24">
        <v>3701564.01</v>
      </c>
    </row>
    <row r="36" spans="1:10" ht="25.5" x14ac:dyDescent="0.25">
      <c r="A36" s="20">
        <v>35</v>
      </c>
      <c r="B36" s="21">
        <v>45875</v>
      </c>
      <c r="C36" s="20" t="s">
        <v>89</v>
      </c>
      <c r="D36" s="20" t="s">
        <v>91</v>
      </c>
      <c r="E36" s="20"/>
      <c r="F36" s="22" t="s">
        <v>92</v>
      </c>
      <c r="G36" s="23" t="s">
        <v>124</v>
      </c>
      <c r="H36" s="57">
        <v>25</v>
      </c>
      <c r="I36" s="57">
        <v>0</v>
      </c>
      <c r="J36" s="24">
        <v>1201564.01</v>
      </c>
    </row>
    <row r="37" spans="1:10" x14ac:dyDescent="0.25">
      <c r="A37" s="20">
        <v>36</v>
      </c>
      <c r="B37" s="21">
        <v>45875</v>
      </c>
      <c r="C37" s="20" t="s">
        <v>89</v>
      </c>
      <c r="D37" s="20" t="s">
        <v>746</v>
      </c>
      <c r="E37" s="20"/>
      <c r="F37" s="22" t="s">
        <v>125</v>
      </c>
      <c r="G37" s="23" t="s">
        <v>126</v>
      </c>
      <c r="H37" s="57">
        <v>3.9412500000000001</v>
      </c>
      <c r="I37" s="57">
        <v>0</v>
      </c>
      <c r="J37" s="24">
        <v>807439.01</v>
      </c>
    </row>
    <row r="38" spans="1:10" ht="25.5" x14ac:dyDescent="0.25">
      <c r="A38" s="20">
        <v>37</v>
      </c>
      <c r="B38" s="21">
        <v>45875</v>
      </c>
      <c r="C38" s="20" t="s">
        <v>89</v>
      </c>
      <c r="D38" s="20" t="s">
        <v>91</v>
      </c>
      <c r="E38" s="20"/>
      <c r="F38" s="22" t="s">
        <v>92</v>
      </c>
      <c r="G38" s="23" t="s">
        <v>124</v>
      </c>
      <c r="H38" s="57">
        <v>3</v>
      </c>
      <c r="I38" s="57">
        <v>0</v>
      </c>
      <c r="J38" s="24">
        <v>507439.01</v>
      </c>
    </row>
    <row r="39" spans="1:10" x14ac:dyDescent="0.25">
      <c r="A39" s="20">
        <v>38</v>
      </c>
      <c r="B39" s="21">
        <v>45876</v>
      </c>
      <c r="C39" s="20" t="s">
        <v>89</v>
      </c>
      <c r="D39" s="20" t="s">
        <v>497</v>
      </c>
      <c r="E39" s="20"/>
      <c r="F39" s="22" t="s">
        <v>796</v>
      </c>
      <c r="G39" s="23" t="s">
        <v>127</v>
      </c>
      <c r="H39" s="57">
        <v>0</v>
      </c>
      <c r="I39" s="57">
        <v>3</v>
      </c>
      <c r="J39" s="24">
        <v>807439.01</v>
      </c>
    </row>
    <row r="40" spans="1:10" x14ac:dyDescent="0.25">
      <c r="A40" s="20">
        <v>39</v>
      </c>
      <c r="B40" s="21">
        <v>45876</v>
      </c>
      <c r="C40" s="20" t="s">
        <v>89</v>
      </c>
      <c r="D40" s="20" t="s">
        <v>497</v>
      </c>
      <c r="E40" s="20"/>
      <c r="F40" s="22" t="s">
        <v>797</v>
      </c>
      <c r="G40" s="23" t="s">
        <v>128</v>
      </c>
      <c r="H40" s="57">
        <v>0</v>
      </c>
      <c r="I40" s="57">
        <v>8.2074200000000008</v>
      </c>
      <c r="J40" s="24">
        <v>1628181.01</v>
      </c>
    </row>
    <row r="41" spans="1:10" x14ac:dyDescent="0.25">
      <c r="A41" s="20">
        <v>40</v>
      </c>
      <c r="B41" s="21">
        <v>45876</v>
      </c>
      <c r="C41" s="20" t="s">
        <v>89</v>
      </c>
      <c r="D41" s="20" t="s">
        <v>497</v>
      </c>
      <c r="E41" s="20"/>
      <c r="F41" s="22" t="s">
        <v>811</v>
      </c>
      <c r="G41" s="23" t="s">
        <v>129</v>
      </c>
      <c r="H41" s="57">
        <v>0</v>
      </c>
      <c r="I41" s="57">
        <v>5</v>
      </c>
      <c r="J41" s="24">
        <v>2128181.0099999998</v>
      </c>
    </row>
    <row r="42" spans="1:10" x14ac:dyDescent="0.25">
      <c r="A42" s="20">
        <v>41</v>
      </c>
      <c r="B42" s="21">
        <v>45876</v>
      </c>
      <c r="C42" s="20" t="s">
        <v>89</v>
      </c>
      <c r="D42" s="20" t="s">
        <v>759</v>
      </c>
      <c r="E42" s="20"/>
      <c r="F42" s="22" t="s">
        <v>760</v>
      </c>
      <c r="G42" s="23" t="s">
        <v>130</v>
      </c>
      <c r="H42" s="57">
        <v>0.5</v>
      </c>
      <c r="I42" s="57">
        <v>0</v>
      </c>
      <c r="J42" s="24">
        <v>2078181.01</v>
      </c>
    </row>
    <row r="43" spans="1:10" x14ac:dyDescent="0.25">
      <c r="A43" s="20">
        <v>42</v>
      </c>
      <c r="B43" s="21">
        <v>45876</v>
      </c>
      <c r="C43" s="20" t="s">
        <v>89</v>
      </c>
      <c r="D43" s="20" t="s">
        <v>91</v>
      </c>
      <c r="E43" s="20"/>
      <c r="F43" s="22" t="s">
        <v>92</v>
      </c>
      <c r="G43" s="23" t="s">
        <v>131</v>
      </c>
      <c r="H43" s="57">
        <v>4</v>
      </c>
      <c r="I43" s="57">
        <v>0</v>
      </c>
      <c r="J43" s="24">
        <v>1678181.01</v>
      </c>
    </row>
    <row r="44" spans="1:10" x14ac:dyDescent="0.25">
      <c r="A44" s="20">
        <v>43</v>
      </c>
      <c r="B44" s="21">
        <v>45876</v>
      </c>
      <c r="C44" s="20" t="s">
        <v>89</v>
      </c>
      <c r="D44" s="20" t="s">
        <v>759</v>
      </c>
      <c r="E44" s="20"/>
      <c r="F44" s="22" t="s">
        <v>765</v>
      </c>
      <c r="G44" s="23" t="s">
        <v>132</v>
      </c>
      <c r="H44" s="57">
        <v>0.57999999999999996</v>
      </c>
      <c r="I44" s="57">
        <v>0</v>
      </c>
      <c r="J44" s="24">
        <v>1620181.01</v>
      </c>
    </row>
    <row r="45" spans="1:10" ht="25.5" x14ac:dyDescent="0.25">
      <c r="A45" s="20">
        <v>44</v>
      </c>
      <c r="B45" s="21">
        <v>45876</v>
      </c>
      <c r="C45" s="20" t="s">
        <v>89</v>
      </c>
      <c r="D45" s="20" t="s">
        <v>759</v>
      </c>
      <c r="E45" s="20"/>
      <c r="F45" s="22" t="s">
        <v>774</v>
      </c>
      <c r="G45" s="23" t="s">
        <v>133</v>
      </c>
      <c r="H45" s="57">
        <v>11</v>
      </c>
      <c r="I45" s="57">
        <v>0</v>
      </c>
      <c r="J45" s="24">
        <v>520181.01</v>
      </c>
    </row>
    <row r="46" spans="1:10" x14ac:dyDescent="0.25">
      <c r="A46" s="20">
        <v>45</v>
      </c>
      <c r="B46" s="21">
        <v>45876</v>
      </c>
      <c r="C46" s="20" t="s">
        <v>89</v>
      </c>
      <c r="D46" s="20" t="s">
        <v>759</v>
      </c>
      <c r="E46" s="20"/>
      <c r="F46" s="22" t="s">
        <v>784</v>
      </c>
      <c r="G46" s="23" t="s">
        <v>134</v>
      </c>
      <c r="H46" s="57">
        <v>1</v>
      </c>
      <c r="I46" s="57">
        <v>0</v>
      </c>
      <c r="J46" s="24">
        <v>420181.01</v>
      </c>
    </row>
    <row r="47" spans="1:10" x14ac:dyDescent="0.25">
      <c r="A47" s="20">
        <v>46</v>
      </c>
      <c r="B47" s="21">
        <v>45877</v>
      </c>
      <c r="C47" s="20" t="s">
        <v>89</v>
      </c>
      <c r="D47" s="20" t="s">
        <v>809</v>
      </c>
      <c r="E47" s="20"/>
      <c r="F47" s="22" t="s">
        <v>810</v>
      </c>
      <c r="G47" s="23" t="s">
        <v>135</v>
      </c>
      <c r="H47" s="57">
        <v>0</v>
      </c>
      <c r="I47" s="57">
        <v>10</v>
      </c>
      <c r="J47" s="24">
        <v>1420181.01</v>
      </c>
    </row>
    <row r="48" spans="1:10" x14ac:dyDescent="0.25">
      <c r="A48" s="20">
        <v>47</v>
      </c>
      <c r="B48" s="21">
        <v>45877</v>
      </c>
      <c r="C48" s="20" t="s">
        <v>89</v>
      </c>
      <c r="D48" s="20" t="s">
        <v>746</v>
      </c>
      <c r="E48" s="20"/>
      <c r="F48" s="22" t="s">
        <v>125</v>
      </c>
      <c r="G48" s="23" t="s">
        <v>136</v>
      </c>
      <c r="H48" s="57">
        <v>2.0377200000000002</v>
      </c>
      <c r="I48" s="57">
        <v>0</v>
      </c>
      <c r="J48" s="24">
        <v>1216409.01</v>
      </c>
    </row>
    <row r="49" spans="1:10" ht="25.5" x14ac:dyDescent="0.25">
      <c r="A49" s="20">
        <v>48</v>
      </c>
      <c r="B49" s="21">
        <v>45877</v>
      </c>
      <c r="C49" s="20" t="s">
        <v>89</v>
      </c>
      <c r="D49" s="20" t="s">
        <v>759</v>
      </c>
      <c r="E49" s="20"/>
      <c r="F49" s="22" t="s">
        <v>774</v>
      </c>
      <c r="G49" s="23" t="s">
        <v>137</v>
      </c>
      <c r="H49" s="57">
        <v>10</v>
      </c>
      <c r="I49" s="57">
        <v>0</v>
      </c>
      <c r="J49" s="24">
        <v>216409.01</v>
      </c>
    </row>
    <row r="50" spans="1:10" x14ac:dyDescent="0.25">
      <c r="A50" s="20">
        <v>49</v>
      </c>
      <c r="B50" s="21">
        <v>45877</v>
      </c>
      <c r="C50" s="20" t="s">
        <v>89</v>
      </c>
      <c r="D50" s="20" t="s">
        <v>497</v>
      </c>
      <c r="E50" s="20"/>
      <c r="F50" s="22" t="s">
        <v>797</v>
      </c>
      <c r="G50" s="23" t="s">
        <v>138</v>
      </c>
      <c r="H50" s="57">
        <v>0</v>
      </c>
      <c r="I50" s="57">
        <v>5.7897999999999996</v>
      </c>
      <c r="J50" s="24">
        <v>795389.01</v>
      </c>
    </row>
    <row r="51" spans="1:10" x14ac:dyDescent="0.25">
      <c r="A51" s="20">
        <v>50</v>
      </c>
      <c r="B51" s="21">
        <v>45877</v>
      </c>
      <c r="C51" s="20" t="s">
        <v>89</v>
      </c>
      <c r="D51" s="20" t="s">
        <v>497</v>
      </c>
      <c r="E51" s="20"/>
      <c r="F51" s="22" t="s">
        <v>796</v>
      </c>
      <c r="G51" s="23" t="s">
        <v>139</v>
      </c>
      <c r="H51" s="57">
        <v>0</v>
      </c>
      <c r="I51" s="57">
        <v>0.37080000000000002</v>
      </c>
      <c r="J51" s="24">
        <v>832469.01</v>
      </c>
    </row>
    <row r="52" spans="1:10" x14ac:dyDescent="0.25">
      <c r="A52" s="20">
        <v>51</v>
      </c>
      <c r="B52" s="21">
        <v>45877</v>
      </c>
      <c r="C52" s="20" t="s">
        <v>89</v>
      </c>
      <c r="D52" s="20" t="s">
        <v>140</v>
      </c>
      <c r="E52" s="20"/>
      <c r="F52" s="22" t="s">
        <v>141</v>
      </c>
      <c r="G52" s="23" t="s">
        <v>142</v>
      </c>
      <c r="H52" s="57">
        <v>1</v>
      </c>
      <c r="I52" s="57">
        <v>0</v>
      </c>
      <c r="J52" s="24">
        <v>732469.01</v>
      </c>
    </row>
    <row r="53" spans="1:10" x14ac:dyDescent="0.25">
      <c r="A53" s="20">
        <v>52</v>
      </c>
      <c r="B53" s="21">
        <v>45880</v>
      </c>
      <c r="C53" s="20" t="s">
        <v>89</v>
      </c>
      <c r="D53" s="20" t="s">
        <v>91</v>
      </c>
      <c r="E53" s="20"/>
      <c r="F53" s="22" t="s">
        <v>92</v>
      </c>
      <c r="G53" s="23" t="s">
        <v>95</v>
      </c>
      <c r="H53" s="57">
        <v>0</v>
      </c>
      <c r="I53" s="57">
        <v>10</v>
      </c>
      <c r="J53" s="24">
        <v>1732469.01</v>
      </c>
    </row>
    <row r="54" spans="1:10" x14ac:dyDescent="0.25">
      <c r="A54" s="20">
        <v>53</v>
      </c>
      <c r="B54" s="21">
        <v>45880</v>
      </c>
      <c r="C54" s="20" t="s">
        <v>89</v>
      </c>
      <c r="D54" s="20" t="s">
        <v>497</v>
      </c>
      <c r="E54" s="20"/>
      <c r="F54" s="22" t="s">
        <v>797</v>
      </c>
      <c r="G54" s="23" t="s">
        <v>143</v>
      </c>
      <c r="H54" s="57">
        <v>0</v>
      </c>
      <c r="I54" s="57">
        <v>5.4304100000000002</v>
      </c>
      <c r="J54" s="24">
        <v>2275510.0099999998</v>
      </c>
    </row>
    <row r="55" spans="1:10" x14ac:dyDescent="0.25">
      <c r="A55" s="20">
        <v>54</v>
      </c>
      <c r="B55" s="21">
        <v>45880</v>
      </c>
      <c r="C55" s="20" t="s">
        <v>89</v>
      </c>
      <c r="D55" s="20" t="s">
        <v>759</v>
      </c>
      <c r="E55" s="20"/>
      <c r="F55" s="22" t="s">
        <v>778</v>
      </c>
      <c r="G55" s="23" t="s">
        <v>144</v>
      </c>
      <c r="H55" s="57">
        <v>22</v>
      </c>
      <c r="I55" s="57">
        <v>0</v>
      </c>
      <c r="J55" s="24">
        <v>75510.009999999995</v>
      </c>
    </row>
    <row r="56" spans="1:10" x14ac:dyDescent="0.25">
      <c r="A56" s="20">
        <v>55</v>
      </c>
      <c r="B56" s="21">
        <v>45880</v>
      </c>
      <c r="C56" s="20" t="s">
        <v>89</v>
      </c>
      <c r="D56" s="20" t="s">
        <v>759</v>
      </c>
      <c r="E56" s="20"/>
      <c r="F56" s="22" t="s">
        <v>765</v>
      </c>
      <c r="G56" s="23" t="s">
        <v>145</v>
      </c>
      <c r="H56" s="57">
        <v>0.15</v>
      </c>
      <c r="I56" s="57">
        <v>0</v>
      </c>
      <c r="J56" s="24">
        <v>60510.01</v>
      </c>
    </row>
    <row r="57" spans="1:10" x14ac:dyDescent="0.25">
      <c r="A57" s="20">
        <v>56</v>
      </c>
      <c r="B57" s="21">
        <v>45881</v>
      </c>
      <c r="C57" s="20" t="s">
        <v>89</v>
      </c>
      <c r="D57" s="20" t="s">
        <v>752</v>
      </c>
      <c r="E57" s="20"/>
      <c r="F57" s="22" t="s">
        <v>753</v>
      </c>
      <c r="G57" s="23" t="s">
        <v>146</v>
      </c>
      <c r="H57" s="57">
        <v>0.42004000000000002</v>
      </c>
      <c r="I57" s="57">
        <v>0</v>
      </c>
      <c r="J57" s="24">
        <v>18506.009999999998</v>
      </c>
    </row>
    <row r="58" spans="1:10" x14ac:dyDescent="0.25">
      <c r="A58" s="20">
        <v>57</v>
      </c>
      <c r="B58" s="21">
        <v>45881</v>
      </c>
      <c r="C58" s="20" t="s">
        <v>89</v>
      </c>
      <c r="D58" s="20" t="s">
        <v>497</v>
      </c>
      <c r="E58" s="20"/>
      <c r="F58" s="22" t="s">
        <v>796</v>
      </c>
      <c r="G58" s="23" t="s">
        <v>147</v>
      </c>
      <c r="H58" s="57">
        <v>0</v>
      </c>
      <c r="I58" s="57">
        <v>2.5</v>
      </c>
      <c r="J58" s="24">
        <v>268506.01</v>
      </c>
    </row>
    <row r="59" spans="1:10" x14ac:dyDescent="0.25">
      <c r="A59" s="20">
        <v>58</v>
      </c>
      <c r="B59" s="21">
        <v>45881</v>
      </c>
      <c r="C59" s="20" t="s">
        <v>89</v>
      </c>
      <c r="D59" s="20" t="s">
        <v>497</v>
      </c>
      <c r="E59" s="20"/>
      <c r="F59" s="22" t="s">
        <v>802</v>
      </c>
      <c r="G59" s="23" t="s">
        <v>148</v>
      </c>
      <c r="H59" s="57">
        <v>0</v>
      </c>
      <c r="I59" s="57">
        <v>25</v>
      </c>
      <c r="J59" s="24">
        <v>2768506.01</v>
      </c>
    </row>
    <row r="60" spans="1:10" x14ac:dyDescent="0.25">
      <c r="A60" s="20">
        <v>59</v>
      </c>
      <c r="B60" s="21">
        <v>45881</v>
      </c>
      <c r="C60" s="20" t="s">
        <v>89</v>
      </c>
      <c r="D60" s="20" t="s">
        <v>91</v>
      </c>
      <c r="E60" s="20"/>
      <c r="F60" s="22" t="s">
        <v>92</v>
      </c>
      <c r="G60" s="23" t="s">
        <v>149</v>
      </c>
      <c r="H60" s="57">
        <v>10</v>
      </c>
      <c r="I60" s="57">
        <v>0</v>
      </c>
      <c r="J60" s="24">
        <v>1768506.01</v>
      </c>
    </row>
    <row r="61" spans="1:10" x14ac:dyDescent="0.25">
      <c r="A61" s="20">
        <v>60</v>
      </c>
      <c r="B61" s="21">
        <v>45881</v>
      </c>
      <c r="C61" s="20" t="s">
        <v>89</v>
      </c>
      <c r="D61" s="20" t="s">
        <v>759</v>
      </c>
      <c r="E61" s="20"/>
      <c r="F61" s="22" t="s">
        <v>778</v>
      </c>
      <c r="G61" s="23" t="s">
        <v>150</v>
      </c>
      <c r="H61" s="57">
        <v>15</v>
      </c>
      <c r="I61" s="57">
        <v>0</v>
      </c>
      <c r="J61" s="24">
        <v>268506.01</v>
      </c>
    </row>
    <row r="62" spans="1:10" x14ac:dyDescent="0.25">
      <c r="A62" s="20">
        <v>61</v>
      </c>
      <c r="B62" s="21">
        <v>45881</v>
      </c>
      <c r="C62" s="20" t="s">
        <v>89</v>
      </c>
      <c r="D62" s="20" t="s">
        <v>497</v>
      </c>
      <c r="E62" s="20"/>
      <c r="F62" s="22" t="s">
        <v>797</v>
      </c>
      <c r="G62" s="23" t="s">
        <v>151</v>
      </c>
      <c r="H62" s="57">
        <v>0</v>
      </c>
      <c r="I62" s="57">
        <v>9.8165600000000008</v>
      </c>
      <c r="J62" s="24">
        <v>1250162.01</v>
      </c>
    </row>
    <row r="63" spans="1:10" x14ac:dyDescent="0.25">
      <c r="A63" s="20">
        <v>62</v>
      </c>
      <c r="B63" s="21">
        <v>45882</v>
      </c>
      <c r="C63" s="20" t="s">
        <v>89</v>
      </c>
      <c r="D63" s="20" t="s">
        <v>497</v>
      </c>
      <c r="E63" s="20"/>
      <c r="F63" s="22" t="s">
        <v>796</v>
      </c>
      <c r="G63" s="23" t="s">
        <v>152</v>
      </c>
      <c r="H63" s="57">
        <v>0</v>
      </c>
      <c r="I63" s="57">
        <v>6</v>
      </c>
      <c r="J63" s="24">
        <v>1850162.01</v>
      </c>
    </row>
    <row r="64" spans="1:10" x14ac:dyDescent="0.25">
      <c r="A64" s="20">
        <v>63</v>
      </c>
      <c r="B64" s="21">
        <v>45882</v>
      </c>
      <c r="C64" s="20" t="s">
        <v>89</v>
      </c>
      <c r="D64" s="20" t="s">
        <v>140</v>
      </c>
      <c r="E64" s="20"/>
      <c r="F64" s="22" t="s">
        <v>141</v>
      </c>
      <c r="G64" s="23" t="s">
        <v>153</v>
      </c>
      <c r="H64" s="57">
        <v>1</v>
      </c>
      <c r="I64" s="57">
        <v>0</v>
      </c>
      <c r="J64" s="24">
        <v>1750162.01</v>
      </c>
    </row>
    <row r="65" spans="1:10" x14ac:dyDescent="0.25">
      <c r="A65" s="20">
        <v>64</v>
      </c>
      <c r="B65" s="21">
        <v>45882</v>
      </c>
      <c r="C65" s="20" t="s">
        <v>89</v>
      </c>
      <c r="D65" s="20" t="s">
        <v>497</v>
      </c>
      <c r="E65" s="20"/>
      <c r="F65" s="22" t="s">
        <v>797</v>
      </c>
      <c r="G65" s="23" t="s">
        <v>154</v>
      </c>
      <c r="H65" s="57">
        <v>0</v>
      </c>
      <c r="I65" s="57">
        <v>5.9670899999999998</v>
      </c>
      <c r="J65" s="24">
        <v>2346871.0099999998</v>
      </c>
    </row>
    <row r="66" spans="1:10" ht="25.5" x14ac:dyDescent="0.25">
      <c r="A66" s="20">
        <v>65</v>
      </c>
      <c r="B66" s="21">
        <v>45882</v>
      </c>
      <c r="C66" s="20" t="s">
        <v>89</v>
      </c>
      <c r="D66" s="20" t="s">
        <v>759</v>
      </c>
      <c r="E66" s="20"/>
      <c r="F66" s="22" t="s">
        <v>774</v>
      </c>
      <c r="G66" s="23" t="s">
        <v>155</v>
      </c>
      <c r="H66" s="57">
        <v>16</v>
      </c>
      <c r="I66" s="57">
        <v>0</v>
      </c>
      <c r="J66" s="24">
        <v>746871.01</v>
      </c>
    </row>
    <row r="67" spans="1:10" x14ac:dyDescent="0.25">
      <c r="A67" s="20">
        <v>66</v>
      </c>
      <c r="B67" s="21">
        <v>45882</v>
      </c>
      <c r="C67" s="20" t="s">
        <v>89</v>
      </c>
      <c r="D67" s="20" t="s">
        <v>497</v>
      </c>
      <c r="E67" s="20"/>
      <c r="F67" s="22" t="s">
        <v>803</v>
      </c>
      <c r="G67" s="23" t="s">
        <v>156</v>
      </c>
      <c r="H67" s="57">
        <v>0</v>
      </c>
      <c r="I67" s="57">
        <v>25</v>
      </c>
      <c r="J67" s="24">
        <v>3246871.01</v>
      </c>
    </row>
    <row r="68" spans="1:10" x14ac:dyDescent="0.25">
      <c r="A68" s="20">
        <v>67</v>
      </c>
      <c r="B68" s="21">
        <v>45883</v>
      </c>
      <c r="C68" s="20" t="s">
        <v>89</v>
      </c>
      <c r="D68" s="20" t="s">
        <v>497</v>
      </c>
      <c r="E68" s="20"/>
      <c r="F68" s="22" t="s">
        <v>796</v>
      </c>
      <c r="G68" s="23" t="s">
        <v>157</v>
      </c>
      <c r="H68" s="57">
        <v>0</v>
      </c>
      <c r="I68" s="57">
        <v>3</v>
      </c>
      <c r="J68" s="24">
        <v>3546871.01</v>
      </c>
    </row>
    <row r="69" spans="1:10" x14ac:dyDescent="0.25">
      <c r="A69" s="20">
        <v>68</v>
      </c>
      <c r="B69" s="21">
        <v>45883</v>
      </c>
      <c r="C69" s="20" t="s">
        <v>89</v>
      </c>
      <c r="D69" s="20" t="s">
        <v>497</v>
      </c>
      <c r="E69" s="20"/>
      <c r="F69" s="22" t="s">
        <v>797</v>
      </c>
      <c r="G69" s="23" t="s">
        <v>158</v>
      </c>
      <c r="H69" s="57">
        <v>0</v>
      </c>
      <c r="I69" s="57">
        <v>2.9338600000000001</v>
      </c>
      <c r="J69" s="24">
        <v>3840257.01</v>
      </c>
    </row>
    <row r="70" spans="1:10" ht="25.5" x14ac:dyDescent="0.25">
      <c r="A70" s="20">
        <v>69</v>
      </c>
      <c r="B70" s="21">
        <v>45883</v>
      </c>
      <c r="C70" s="20" t="s">
        <v>89</v>
      </c>
      <c r="D70" s="20" t="s">
        <v>759</v>
      </c>
      <c r="E70" s="20"/>
      <c r="F70" s="22" t="s">
        <v>781</v>
      </c>
      <c r="G70" s="23" t="s">
        <v>159</v>
      </c>
      <c r="H70" s="57">
        <v>0.1</v>
      </c>
      <c r="I70" s="57">
        <v>0</v>
      </c>
      <c r="J70" s="24">
        <v>3830257.01</v>
      </c>
    </row>
    <row r="71" spans="1:10" ht="25.5" x14ac:dyDescent="0.25">
      <c r="A71" s="20">
        <v>70</v>
      </c>
      <c r="B71" s="21">
        <v>45883</v>
      </c>
      <c r="C71" s="20" t="s">
        <v>89</v>
      </c>
      <c r="D71" s="20" t="s">
        <v>759</v>
      </c>
      <c r="E71" s="20"/>
      <c r="F71" s="22" t="s">
        <v>774</v>
      </c>
      <c r="G71" s="23" t="s">
        <v>160</v>
      </c>
      <c r="H71" s="57">
        <v>20</v>
      </c>
      <c r="I71" s="57">
        <v>0</v>
      </c>
      <c r="J71" s="24">
        <v>1830257.01</v>
      </c>
    </row>
    <row r="72" spans="1:10" x14ac:dyDescent="0.25">
      <c r="A72" s="20">
        <v>71</v>
      </c>
      <c r="B72" s="21">
        <v>45883</v>
      </c>
      <c r="C72" s="20" t="s">
        <v>89</v>
      </c>
      <c r="D72" s="20" t="s">
        <v>91</v>
      </c>
      <c r="E72" s="20"/>
      <c r="F72" s="22" t="s">
        <v>92</v>
      </c>
      <c r="G72" s="23" t="s">
        <v>161</v>
      </c>
      <c r="H72" s="57">
        <v>0.5</v>
      </c>
      <c r="I72" s="57">
        <v>0</v>
      </c>
      <c r="J72" s="24">
        <v>1780257.01</v>
      </c>
    </row>
    <row r="73" spans="1:10" x14ac:dyDescent="0.25">
      <c r="A73" s="20">
        <v>72</v>
      </c>
      <c r="B73" s="21">
        <v>45883</v>
      </c>
      <c r="C73" s="20" t="s">
        <v>89</v>
      </c>
      <c r="D73" s="25" t="s">
        <v>759</v>
      </c>
      <c r="E73" s="20"/>
      <c r="F73" s="22" t="s">
        <v>773</v>
      </c>
      <c r="G73" s="23" t="s">
        <v>162</v>
      </c>
      <c r="H73" s="57">
        <v>2</v>
      </c>
      <c r="I73" s="57">
        <v>0</v>
      </c>
      <c r="J73" s="24">
        <v>1580257.01</v>
      </c>
    </row>
    <row r="74" spans="1:10" ht="25.5" x14ac:dyDescent="0.25">
      <c r="A74" s="20">
        <v>73</v>
      </c>
      <c r="B74" s="21">
        <v>45883</v>
      </c>
      <c r="C74" s="20" t="s">
        <v>89</v>
      </c>
      <c r="D74" s="20" t="s">
        <v>759</v>
      </c>
      <c r="E74" s="20"/>
      <c r="F74" s="22" t="s">
        <v>774</v>
      </c>
      <c r="G74" s="23" t="s">
        <v>163</v>
      </c>
      <c r="H74" s="57">
        <v>0.21969</v>
      </c>
      <c r="I74" s="57">
        <v>0</v>
      </c>
      <c r="J74" s="24">
        <v>1558288.01</v>
      </c>
    </row>
    <row r="75" spans="1:10" ht="25.5" x14ac:dyDescent="0.25">
      <c r="A75" s="20">
        <v>74</v>
      </c>
      <c r="B75" s="21">
        <v>45883</v>
      </c>
      <c r="C75" s="20" t="s">
        <v>89</v>
      </c>
      <c r="D75" s="20" t="s">
        <v>759</v>
      </c>
      <c r="E75" s="20"/>
      <c r="F75" s="22" t="s">
        <v>758</v>
      </c>
      <c r="G75" s="23" t="s">
        <v>164</v>
      </c>
      <c r="H75" s="57">
        <v>2.86</v>
      </c>
      <c r="I75" s="57">
        <v>0</v>
      </c>
      <c r="J75" s="24">
        <v>1272288.01</v>
      </c>
    </row>
    <row r="76" spans="1:10" ht="25.5" x14ac:dyDescent="0.25">
      <c r="A76" s="20">
        <v>75</v>
      </c>
      <c r="B76" s="21">
        <v>45883</v>
      </c>
      <c r="C76" s="20" t="s">
        <v>89</v>
      </c>
      <c r="D76" s="20" t="s">
        <v>759</v>
      </c>
      <c r="E76" s="20"/>
      <c r="F76" s="22" t="s">
        <v>762</v>
      </c>
      <c r="G76" s="23" t="s">
        <v>165</v>
      </c>
      <c r="H76" s="57">
        <v>1</v>
      </c>
      <c r="I76" s="57">
        <v>0</v>
      </c>
      <c r="J76" s="24">
        <v>1172288.01</v>
      </c>
    </row>
    <row r="77" spans="1:10" ht="25.5" x14ac:dyDescent="0.25">
      <c r="A77" s="20">
        <v>76</v>
      </c>
      <c r="B77" s="21">
        <v>45883</v>
      </c>
      <c r="C77" s="20" t="s">
        <v>89</v>
      </c>
      <c r="D77" s="20" t="s">
        <v>759</v>
      </c>
      <c r="E77" s="20"/>
      <c r="F77" s="22" t="s">
        <v>772</v>
      </c>
      <c r="G77" s="23" t="s">
        <v>166</v>
      </c>
      <c r="H77" s="57">
        <v>1.25</v>
      </c>
      <c r="I77" s="57">
        <v>0</v>
      </c>
      <c r="J77" s="24">
        <v>1047288.01</v>
      </c>
    </row>
    <row r="78" spans="1:10" x14ac:dyDescent="0.25">
      <c r="A78" s="20">
        <v>77</v>
      </c>
      <c r="B78" s="21">
        <v>45883</v>
      </c>
      <c r="C78" s="20" t="s">
        <v>89</v>
      </c>
      <c r="D78" s="20" t="s">
        <v>787</v>
      </c>
      <c r="E78" s="20">
        <v>1544086</v>
      </c>
      <c r="F78" s="22" t="s">
        <v>786</v>
      </c>
      <c r="G78" s="23" t="s">
        <v>167</v>
      </c>
      <c r="H78" s="57">
        <v>0.2</v>
      </c>
      <c r="I78" s="57">
        <v>0</v>
      </c>
      <c r="J78" s="24">
        <v>1027288.01</v>
      </c>
    </row>
    <row r="79" spans="1:10" x14ac:dyDescent="0.25">
      <c r="A79" s="20">
        <v>78</v>
      </c>
      <c r="B79" s="21">
        <v>45883</v>
      </c>
      <c r="C79" s="20" t="s">
        <v>89</v>
      </c>
      <c r="D79" s="20" t="s">
        <v>91</v>
      </c>
      <c r="E79" s="20"/>
      <c r="F79" s="22" t="s">
        <v>92</v>
      </c>
      <c r="G79" s="23" t="s">
        <v>168</v>
      </c>
      <c r="H79" s="57">
        <v>3</v>
      </c>
      <c r="I79" s="57">
        <v>0</v>
      </c>
      <c r="J79" s="24">
        <v>727288.01</v>
      </c>
    </row>
    <row r="80" spans="1:10" x14ac:dyDescent="0.25">
      <c r="A80" s="20">
        <v>79</v>
      </c>
      <c r="B80" s="21">
        <v>45887</v>
      </c>
      <c r="C80" s="20" t="s">
        <v>89</v>
      </c>
      <c r="D80" s="20" t="s">
        <v>497</v>
      </c>
      <c r="E80" s="20"/>
      <c r="F80" s="22" t="s">
        <v>796</v>
      </c>
      <c r="G80" s="23" t="s">
        <v>169</v>
      </c>
      <c r="H80" s="57">
        <v>0</v>
      </c>
      <c r="I80" s="57">
        <v>4</v>
      </c>
      <c r="J80" s="24">
        <v>1127288.01</v>
      </c>
    </row>
    <row r="81" spans="1:10" x14ac:dyDescent="0.25">
      <c r="A81" s="20">
        <v>80</v>
      </c>
      <c r="B81" s="21">
        <v>45887</v>
      </c>
      <c r="C81" s="20" t="s">
        <v>89</v>
      </c>
      <c r="D81" s="20" t="s">
        <v>91</v>
      </c>
      <c r="E81" s="20"/>
      <c r="F81" s="22" t="s">
        <v>92</v>
      </c>
      <c r="G81" s="23" t="s">
        <v>95</v>
      </c>
      <c r="H81" s="57">
        <v>0</v>
      </c>
      <c r="I81" s="57">
        <v>6</v>
      </c>
      <c r="J81" s="24">
        <v>1727288.01</v>
      </c>
    </row>
    <row r="82" spans="1:10" ht="25.5" x14ac:dyDescent="0.25">
      <c r="A82" s="20">
        <v>81</v>
      </c>
      <c r="B82" s="21">
        <v>45887</v>
      </c>
      <c r="C82" s="20" t="s">
        <v>89</v>
      </c>
      <c r="D82" s="20" t="s">
        <v>759</v>
      </c>
      <c r="E82" s="20"/>
      <c r="F82" s="22" t="s">
        <v>789</v>
      </c>
      <c r="G82" s="23" t="s">
        <v>170</v>
      </c>
      <c r="H82" s="57">
        <v>0.1593</v>
      </c>
      <c r="I82" s="57">
        <v>0</v>
      </c>
      <c r="J82" s="24">
        <v>1711358.01</v>
      </c>
    </row>
    <row r="83" spans="1:10" ht="25.5" x14ac:dyDescent="0.25">
      <c r="A83" s="20">
        <v>82</v>
      </c>
      <c r="B83" s="21">
        <v>45887</v>
      </c>
      <c r="C83" s="20" t="s">
        <v>89</v>
      </c>
      <c r="D83" s="20" t="s">
        <v>759</v>
      </c>
      <c r="E83" s="20"/>
      <c r="F83" s="22" t="s">
        <v>774</v>
      </c>
      <c r="G83" s="23" t="s">
        <v>171</v>
      </c>
      <c r="H83" s="57">
        <v>12</v>
      </c>
      <c r="I83" s="57">
        <v>0</v>
      </c>
      <c r="J83" s="24">
        <v>511358.01</v>
      </c>
    </row>
    <row r="84" spans="1:10" x14ac:dyDescent="0.25">
      <c r="A84" s="20">
        <v>83</v>
      </c>
      <c r="B84" s="21">
        <v>45888</v>
      </c>
      <c r="C84" s="20" t="s">
        <v>89</v>
      </c>
      <c r="D84" s="20" t="s">
        <v>497</v>
      </c>
      <c r="E84" s="20"/>
      <c r="F84" s="22" t="s">
        <v>796</v>
      </c>
      <c r="G84" s="23" t="s">
        <v>172</v>
      </c>
      <c r="H84" s="57">
        <v>0</v>
      </c>
      <c r="I84" s="57">
        <v>0.36049999999999999</v>
      </c>
      <c r="J84" s="24">
        <v>547408.01</v>
      </c>
    </row>
    <row r="85" spans="1:10" x14ac:dyDescent="0.25">
      <c r="A85" s="20">
        <v>84</v>
      </c>
      <c r="B85" s="21">
        <v>45888</v>
      </c>
      <c r="C85" s="20" t="s">
        <v>89</v>
      </c>
      <c r="D85" s="20" t="s">
        <v>497</v>
      </c>
      <c r="E85" s="20"/>
      <c r="F85" s="22" t="s">
        <v>797</v>
      </c>
      <c r="G85" s="23" t="s">
        <v>173</v>
      </c>
      <c r="H85" s="57">
        <v>0</v>
      </c>
      <c r="I85" s="57">
        <v>4.4222299999999999</v>
      </c>
      <c r="J85" s="24">
        <v>989631.01</v>
      </c>
    </row>
    <row r="86" spans="1:10" x14ac:dyDescent="0.25">
      <c r="A86" s="20">
        <v>85</v>
      </c>
      <c r="B86" s="21">
        <v>45888</v>
      </c>
      <c r="C86" s="20" t="s">
        <v>89</v>
      </c>
      <c r="D86" s="20" t="s">
        <v>140</v>
      </c>
      <c r="E86" s="20"/>
      <c r="F86" s="22" t="s">
        <v>141</v>
      </c>
      <c r="G86" s="23" t="s">
        <v>174</v>
      </c>
      <c r="H86" s="57">
        <v>0.25</v>
      </c>
      <c r="I86" s="57">
        <v>0</v>
      </c>
      <c r="J86" s="24">
        <v>964631.01</v>
      </c>
    </row>
    <row r="87" spans="1:10" x14ac:dyDescent="0.25">
      <c r="A87" s="20">
        <v>86</v>
      </c>
      <c r="B87" s="21">
        <v>45888</v>
      </c>
      <c r="C87" s="20" t="s">
        <v>89</v>
      </c>
      <c r="D87" s="20" t="s">
        <v>91</v>
      </c>
      <c r="E87" s="20"/>
      <c r="F87" s="22" t="s">
        <v>92</v>
      </c>
      <c r="G87" s="23" t="s">
        <v>95</v>
      </c>
      <c r="H87" s="57">
        <v>0</v>
      </c>
      <c r="I87" s="57">
        <v>2</v>
      </c>
      <c r="J87" s="24">
        <v>1164631.01</v>
      </c>
    </row>
    <row r="88" spans="1:10" ht="25.5" x14ac:dyDescent="0.25">
      <c r="A88" s="20">
        <v>87</v>
      </c>
      <c r="B88" s="21">
        <v>45888</v>
      </c>
      <c r="C88" s="20" t="s">
        <v>89</v>
      </c>
      <c r="D88" s="20" t="s">
        <v>759</v>
      </c>
      <c r="E88" s="20"/>
      <c r="F88" s="22" t="s">
        <v>774</v>
      </c>
      <c r="G88" s="23" t="s">
        <v>175</v>
      </c>
      <c r="H88" s="57">
        <v>11</v>
      </c>
      <c r="I88" s="57">
        <v>0</v>
      </c>
      <c r="J88" s="24">
        <v>64631.01</v>
      </c>
    </row>
    <row r="89" spans="1:10" x14ac:dyDescent="0.25">
      <c r="A89" s="20">
        <v>88</v>
      </c>
      <c r="B89" s="21">
        <v>45889</v>
      </c>
      <c r="C89" s="20" t="s">
        <v>89</v>
      </c>
      <c r="D89" s="20" t="s">
        <v>91</v>
      </c>
      <c r="E89" s="20"/>
      <c r="F89" s="22" t="s">
        <v>92</v>
      </c>
      <c r="G89" s="23" t="s">
        <v>95</v>
      </c>
      <c r="H89" s="57">
        <v>0</v>
      </c>
      <c r="I89" s="57">
        <v>13</v>
      </c>
      <c r="J89" s="24">
        <v>1364631.01</v>
      </c>
    </row>
    <row r="90" spans="1:10" x14ac:dyDescent="0.25">
      <c r="A90" s="20">
        <v>89</v>
      </c>
      <c r="B90" s="21">
        <v>45889</v>
      </c>
      <c r="C90" s="20" t="s">
        <v>89</v>
      </c>
      <c r="D90" s="20" t="s">
        <v>759</v>
      </c>
      <c r="E90" s="20"/>
      <c r="F90" s="22" t="s">
        <v>765</v>
      </c>
      <c r="G90" s="23" t="s">
        <v>176</v>
      </c>
      <c r="H90" s="57">
        <v>0.28999999999999998</v>
      </c>
      <c r="I90" s="57">
        <v>0</v>
      </c>
      <c r="J90" s="24">
        <v>1335631.01</v>
      </c>
    </row>
    <row r="91" spans="1:10" ht="25.5" x14ac:dyDescent="0.25">
      <c r="A91" s="20">
        <v>90</v>
      </c>
      <c r="B91" s="21">
        <v>45889</v>
      </c>
      <c r="C91" s="20" t="s">
        <v>89</v>
      </c>
      <c r="D91" s="20" t="s">
        <v>759</v>
      </c>
      <c r="E91" s="20"/>
      <c r="F91" s="22" t="s">
        <v>774</v>
      </c>
      <c r="G91" s="23" t="s">
        <v>177</v>
      </c>
      <c r="H91" s="57">
        <v>12</v>
      </c>
      <c r="I91" s="57">
        <v>0</v>
      </c>
      <c r="J91" s="24">
        <v>135631.01</v>
      </c>
    </row>
    <row r="92" spans="1:10" x14ac:dyDescent="0.25">
      <c r="A92" s="20">
        <v>91</v>
      </c>
      <c r="B92" s="21">
        <v>45890</v>
      </c>
      <c r="C92" s="20" t="s">
        <v>89</v>
      </c>
      <c r="D92" s="20" t="s">
        <v>497</v>
      </c>
      <c r="E92" s="20"/>
      <c r="F92" s="22" t="s">
        <v>796</v>
      </c>
      <c r="G92" s="23" t="s">
        <v>178</v>
      </c>
      <c r="H92" s="57">
        <v>0</v>
      </c>
      <c r="I92" s="57">
        <v>2</v>
      </c>
      <c r="J92" s="24">
        <v>335631.01</v>
      </c>
    </row>
    <row r="93" spans="1:10" x14ac:dyDescent="0.25">
      <c r="A93" s="20">
        <v>92</v>
      </c>
      <c r="B93" s="21">
        <v>45890</v>
      </c>
      <c r="C93" s="20" t="s">
        <v>89</v>
      </c>
      <c r="D93" s="20" t="s">
        <v>497</v>
      </c>
      <c r="E93" s="20"/>
      <c r="F93" s="22" t="s">
        <v>797</v>
      </c>
      <c r="G93" s="23" t="s">
        <v>179</v>
      </c>
      <c r="H93" s="57">
        <v>0</v>
      </c>
      <c r="I93" s="57">
        <v>6.3069499999999996</v>
      </c>
      <c r="J93" s="24">
        <v>966326.01</v>
      </c>
    </row>
    <row r="94" spans="1:10" x14ac:dyDescent="0.25">
      <c r="A94" s="20">
        <v>93</v>
      </c>
      <c r="B94" s="21">
        <v>45890</v>
      </c>
      <c r="C94" s="20" t="s">
        <v>89</v>
      </c>
      <c r="D94" s="20" t="s">
        <v>91</v>
      </c>
      <c r="E94" s="20"/>
      <c r="F94" s="22" t="s">
        <v>92</v>
      </c>
      <c r="G94" s="23" t="s">
        <v>180</v>
      </c>
      <c r="H94" s="57">
        <v>0</v>
      </c>
      <c r="I94" s="57">
        <v>1</v>
      </c>
      <c r="J94" s="24">
        <v>1066326.01</v>
      </c>
    </row>
    <row r="95" spans="1:10" x14ac:dyDescent="0.25">
      <c r="A95" s="20">
        <v>94</v>
      </c>
      <c r="B95" s="21">
        <v>45890</v>
      </c>
      <c r="C95" s="20" t="s">
        <v>89</v>
      </c>
      <c r="D95" s="20" t="s">
        <v>759</v>
      </c>
      <c r="E95" s="20"/>
      <c r="F95" s="22" t="s">
        <v>778</v>
      </c>
      <c r="G95" s="23" t="s">
        <v>181</v>
      </c>
      <c r="H95" s="57">
        <v>10</v>
      </c>
      <c r="I95" s="57">
        <v>0</v>
      </c>
      <c r="J95" s="24">
        <v>66326.009999999995</v>
      </c>
    </row>
    <row r="96" spans="1:10" ht="25.5" x14ac:dyDescent="0.25">
      <c r="A96" s="20">
        <v>95</v>
      </c>
      <c r="B96" s="21">
        <v>45890</v>
      </c>
      <c r="C96" s="20" t="s">
        <v>89</v>
      </c>
      <c r="D96" s="25" t="s">
        <v>759</v>
      </c>
      <c r="E96" s="20"/>
      <c r="F96" s="22" t="s">
        <v>769</v>
      </c>
      <c r="G96" s="23" t="s">
        <v>182</v>
      </c>
      <c r="H96" s="57">
        <v>0.5</v>
      </c>
      <c r="I96" s="57">
        <v>0</v>
      </c>
      <c r="J96" s="24">
        <v>16326.01</v>
      </c>
    </row>
    <row r="97" spans="1:10" ht="25.5" x14ac:dyDescent="0.25">
      <c r="A97" s="20">
        <v>96</v>
      </c>
      <c r="B97" s="21">
        <v>45890</v>
      </c>
      <c r="C97" s="20" t="s">
        <v>89</v>
      </c>
      <c r="D97" s="20" t="s">
        <v>497</v>
      </c>
      <c r="E97" s="20"/>
      <c r="F97" s="22" t="s">
        <v>801</v>
      </c>
      <c r="G97" s="23" t="s">
        <v>183</v>
      </c>
      <c r="H97" s="57">
        <v>0</v>
      </c>
      <c r="I97" s="57">
        <v>2.8185199999999999</v>
      </c>
      <c r="J97" s="24">
        <v>298178.01</v>
      </c>
    </row>
    <row r="98" spans="1:10" x14ac:dyDescent="0.25">
      <c r="A98" s="20">
        <v>97</v>
      </c>
      <c r="B98" s="21">
        <v>45891</v>
      </c>
      <c r="C98" s="20" t="s">
        <v>89</v>
      </c>
      <c r="D98" s="20" t="s">
        <v>497</v>
      </c>
      <c r="E98" s="20"/>
      <c r="F98" s="22" t="s">
        <v>796</v>
      </c>
      <c r="G98" s="23" t="s">
        <v>184</v>
      </c>
      <c r="H98" s="57">
        <v>0</v>
      </c>
      <c r="I98" s="57">
        <v>3</v>
      </c>
      <c r="J98" s="24">
        <v>598178.01</v>
      </c>
    </row>
    <row r="99" spans="1:10" x14ac:dyDescent="0.25">
      <c r="A99" s="20">
        <v>98</v>
      </c>
      <c r="B99" s="21">
        <v>45891</v>
      </c>
      <c r="C99" s="20" t="s">
        <v>89</v>
      </c>
      <c r="D99" s="20" t="s">
        <v>497</v>
      </c>
      <c r="E99" s="20"/>
      <c r="F99" s="22" t="s">
        <v>797</v>
      </c>
      <c r="G99" s="23" t="s">
        <v>185</v>
      </c>
      <c r="H99" s="57">
        <v>0</v>
      </c>
      <c r="I99" s="57">
        <v>3.2738900000000002</v>
      </c>
      <c r="J99" s="24">
        <v>925567.01</v>
      </c>
    </row>
    <row r="100" spans="1:10" x14ac:dyDescent="0.25">
      <c r="A100" s="20">
        <v>99</v>
      </c>
      <c r="B100" s="21">
        <v>45891</v>
      </c>
      <c r="C100" s="20" t="s">
        <v>89</v>
      </c>
      <c r="D100" s="20" t="s">
        <v>759</v>
      </c>
      <c r="E100" s="20"/>
      <c r="F100" s="22" t="s">
        <v>778</v>
      </c>
      <c r="G100" s="23" t="s">
        <v>186</v>
      </c>
      <c r="H100" s="57">
        <v>9</v>
      </c>
      <c r="I100" s="57">
        <v>0</v>
      </c>
      <c r="J100" s="24">
        <v>25567.01</v>
      </c>
    </row>
    <row r="101" spans="1:10" x14ac:dyDescent="0.25">
      <c r="A101" s="20">
        <v>100</v>
      </c>
      <c r="B101" s="21">
        <v>45891</v>
      </c>
      <c r="C101" s="20" t="s">
        <v>89</v>
      </c>
      <c r="D101" s="20" t="s">
        <v>497</v>
      </c>
      <c r="E101" s="20"/>
      <c r="F101" s="22" t="s">
        <v>801</v>
      </c>
      <c r="G101" s="23" t="s">
        <v>187</v>
      </c>
      <c r="H101" s="57">
        <v>0</v>
      </c>
      <c r="I101" s="57">
        <v>10.358980000000001</v>
      </c>
      <c r="J101" s="24">
        <v>1061465.01</v>
      </c>
    </row>
    <row r="102" spans="1:10" x14ac:dyDescent="0.25">
      <c r="A102" s="20">
        <v>101</v>
      </c>
      <c r="B102" s="21">
        <v>45892</v>
      </c>
      <c r="C102" s="20" t="s">
        <v>89</v>
      </c>
      <c r="D102" s="20" t="s">
        <v>752</v>
      </c>
      <c r="E102" s="20"/>
      <c r="F102" s="22" t="s">
        <v>754</v>
      </c>
      <c r="G102" s="23" t="s">
        <v>188</v>
      </c>
      <c r="H102" s="57">
        <v>0.12615999999999999</v>
      </c>
      <c r="I102" s="57">
        <v>0</v>
      </c>
      <c r="J102" s="24">
        <v>1048849.01</v>
      </c>
    </row>
    <row r="103" spans="1:10" x14ac:dyDescent="0.25">
      <c r="A103" s="20">
        <v>102</v>
      </c>
      <c r="B103" s="21">
        <v>45892</v>
      </c>
      <c r="C103" s="20" t="s">
        <v>89</v>
      </c>
      <c r="D103" s="20" t="s">
        <v>497</v>
      </c>
      <c r="E103" s="20"/>
      <c r="F103" s="22" t="s">
        <v>797</v>
      </c>
      <c r="G103" s="23" t="s">
        <v>189</v>
      </c>
      <c r="H103" s="57">
        <v>0</v>
      </c>
      <c r="I103" s="57">
        <v>4.3403999999999998</v>
      </c>
      <c r="J103" s="24">
        <v>1482889.01</v>
      </c>
    </row>
    <row r="104" spans="1:10" x14ac:dyDescent="0.25">
      <c r="A104" s="20">
        <v>103</v>
      </c>
      <c r="B104" s="21">
        <v>45894</v>
      </c>
      <c r="C104" s="20" t="s">
        <v>89</v>
      </c>
      <c r="D104" s="20" t="s">
        <v>497</v>
      </c>
      <c r="E104" s="20"/>
      <c r="F104" s="22" t="s">
        <v>796</v>
      </c>
      <c r="G104" s="23" t="s">
        <v>190</v>
      </c>
      <c r="H104" s="57">
        <v>0</v>
      </c>
      <c r="I104" s="57">
        <v>3</v>
      </c>
      <c r="J104" s="24">
        <v>1782889.01</v>
      </c>
    </row>
    <row r="105" spans="1:10" x14ac:dyDescent="0.25">
      <c r="A105" s="20">
        <v>104</v>
      </c>
      <c r="B105" s="21">
        <v>45894</v>
      </c>
      <c r="C105" s="20" t="s">
        <v>89</v>
      </c>
      <c r="D105" s="20" t="s">
        <v>759</v>
      </c>
      <c r="E105" s="20"/>
      <c r="F105" s="22" t="s">
        <v>778</v>
      </c>
      <c r="G105" s="23" t="s">
        <v>191</v>
      </c>
      <c r="H105" s="57">
        <v>10</v>
      </c>
      <c r="I105" s="57">
        <v>0</v>
      </c>
      <c r="J105" s="24">
        <v>782889.01</v>
      </c>
    </row>
    <row r="106" spans="1:10" x14ac:dyDescent="0.25">
      <c r="A106" s="20">
        <v>105</v>
      </c>
      <c r="B106" s="21">
        <v>45895</v>
      </c>
      <c r="C106" s="20" t="s">
        <v>89</v>
      </c>
      <c r="D106" s="20" t="s">
        <v>497</v>
      </c>
      <c r="E106" s="20"/>
      <c r="F106" s="22" t="s">
        <v>799</v>
      </c>
      <c r="G106" s="23" t="s">
        <v>192</v>
      </c>
      <c r="H106" s="57">
        <v>0</v>
      </c>
      <c r="I106" s="57">
        <v>5</v>
      </c>
      <c r="J106" s="24">
        <v>1282889.01</v>
      </c>
    </row>
    <row r="107" spans="1:10" x14ac:dyDescent="0.25">
      <c r="A107" s="20">
        <v>106</v>
      </c>
      <c r="B107" s="21">
        <v>45895</v>
      </c>
      <c r="C107" s="20" t="s">
        <v>89</v>
      </c>
      <c r="D107" s="20" t="s">
        <v>809</v>
      </c>
      <c r="E107" s="20"/>
      <c r="F107" s="22" t="s">
        <v>805</v>
      </c>
      <c r="G107" s="23" t="s">
        <v>193</v>
      </c>
      <c r="H107" s="57">
        <v>0</v>
      </c>
      <c r="I107" s="57">
        <v>5</v>
      </c>
      <c r="J107" s="24">
        <v>1782889.01</v>
      </c>
    </row>
    <row r="108" spans="1:10" x14ac:dyDescent="0.25">
      <c r="A108" s="20">
        <v>107</v>
      </c>
      <c r="B108" s="21">
        <v>45895</v>
      </c>
      <c r="C108" s="20" t="s">
        <v>89</v>
      </c>
      <c r="D108" s="20" t="s">
        <v>809</v>
      </c>
      <c r="E108" s="20"/>
      <c r="F108" s="22" t="s">
        <v>806</v>
      </c>
      <c r="G108" s="23" t="s">
        <v>194</v>
      </c>
      <c r="H108" s="57">
        <v>0</v>
      </c>
      <c r="I108" s="57">
        <v>5</v>
      </c>
      <c r="J108" s="24">
        <v>2282889.0099999998</v>
      </c>
    </row>
    <row r="109" spans="1:10" x14ac:dyDescent="0.25">
      <c r="A109" s="20">
        <v>108</v>
      </c>
      <c r="B109" s="21">
        <v>45895</v>
      </c>
      <c r="C109" s="20" t="s">
        <v>89</v>
      </c>
      <c r="D109" s="20" t="s">
        <v>497</v>
      </c>
      <c r="E109" s="20"/>
      <c r="F109" s="22" t="s">
        <v>797</v>
      </c>
      <c r="G109" s="23" t="s">
        <v>195</v>
      </c>
      <c r="H109" s="57">
        <v>0</v>
      </c>
      <c r="I109" s="57">
        <v>5.9398200000000001</v>
      </c>
      <c r="J109" s="24">
        <v>2876871.01</v>
      </c>
    </row>
    <row r="110" spans="1:10" x14ac:dyDescent="0.25">
      <c r="A110" s="20">
        <v>109</v>
      </c>
      <c r="B110" s="21">
        <v>45895</v>
      </c>
      <c r="C110" s="20" t="s">
        <v>89</v>
      </c>
      <c r="D110" s="20" t="s">
        <v>809</v>
      </c>
      <c r="E110" s="20"/>
      <c r="F110" s="22" t="s">
        <v>810</v>
      </c>
      <c r="G110" s="23" t="s">
        <v>196</v>
      </c>
      <c r="H110" s="57">
        <v>0</v>
      </c>
      <c r="I110" s="57">
        <v>7.5</v>
      </c>
      <c r="J110" s="24">
        <v>3626871.01</v>
      </c>
    </row>
    <row r="111" spans="1:10" x14ac:dyDescent="0.25">
      <c r="A111" s="20">
        <v>110</v>
      </c>
      <c r="B111" s="21">
        <v>45895</v>
      </c>
      <c r="C111" s="20" t="s">
        <v>89</v>
      </c>
      <c r="D111" s="20" t="s">
        <v>497</v>
      </c>
      <c r="E111" s="20"/>
      <c r="F111" s="22" t="s">
        <v>796</v>
      </c>
      <c r="G111" s="23" t="s">
        <v>197</v>
      </c>
      <c r="H111" s="57">
        <v>0</v>
      </c>
      <c r="I111" s="57">
        <v>6</v>
      </c>
      <c r="J111" s="24">
        <v>4226871.01</v>
      </c>
    </row>
    <row r="112" spans="1:10" x14ac:dyDescent="0.25">
      <c r="A112" s="20">
        <v>111</v>
      </c>
      <c r="B112" s="21">
        <v>45895</v>
      </c>
      <c r="C112" s="20" t="s">
        <v>89</v>
      </c>
      <c r="D112" s="20" t="s">
        <v>759</v>
      </c>
      <c r="E112" s="20"/>
      <c r="F112" s="22" t="s">
        <v>778</v>
      </c>
      <c r="G112" s="23" t="s">
        <v>198</v>
      </c>
      <c r="H112" s="57">
        <v>16</v>
      </c>
      <c r="I112" s="57">
        <v>0</v>
      </c>
      <c r="J112" s="24">
        <v>2626871.0099999998</v>
      </c>
    </row>
    <row r="113" spans="1:10" x14ac:dyDescent="0.25">
      <c r="A113" s="20">
        <v>112</v>
      </c>
      <c r="B113" s="21">
        <v>45895</v>
      </c>
      <c r="C113" s="20" t="s">
        <v>89</v>
      </c>
      <c r="D113" s="25" t="s">
        <v>759</v>
      </c>
      <c r="E113" s="20"/>
      <c r="F113" s="22" t="s">
        <v>773</v>
      </c>
      <c r="G113" s="23" t="s">
        <v>199</v>
      </c>
      <c r="H113" s="57">
        <v>0.5</v>
      </c>
      <c r="I113" s="57">
        <v>0</v>
      </c>
      <c r="J113" s="24">
        <v>2576871.0099999998</v>
      </c>
    </row>
    <row r="114" spans="1:10" x14ac:dyDescent="0.25">
      <c r="A114" s="20">
        <v>113</v>
      </c>
      <c r="B114" s="21">
        <v>45895</v>
      </c>
      <c r="C114" s="20" t="s">
        <v>89</v>
      </c>
      <c r="D114" s="20" t="s">
        <v>91</v>
      </c>
      <c r="E114" s="20"/>
      <c r="F114" s="22" t="s">
        <v>92</v>
      </c>
      <c r="G114" s="23" t="s">
        <v>200</v>
      </c>
      <c r="H114" s="57">
        <v>1.25</v>
      </c>
      <c r="I114" s="57">
        <v>0</v>
      </c>
      <c r="J114" s="24">
        <v>2451871.0099999998</v>
      </c>
    </row>
    <row r="115" spans="1:10" x14ac:dyDescent="0.25">
      <c r="A115" s="20">
        <v>114</v>
      </c>
      <c r="B115" s="21">
        <v>45895</v>
      </c>
      <c r="C115" s="20" t="s">
        <v>89</v>
      </c>
      <c r="D115" s="20" t="s">
        <v>809</v>
      </c>
      <c r="E115" s="20"/>
      <c r="F115" s="22" t="s">
        <v>805</v>
      </c>
      <c r="G115" s="23" t="s">
        <v>201</v>
      </c>
      <c r="H115" s="57">
        <v>0</v>
      </c>
      <c r="I115" s="57">
        <v>5.0000200000000001</v>
      </c>
      <c r="J115" s="24">
        <v>2951873.01</v>
      </c>
    </row>
    <row r="116" spans="1:10" x14ac:dyDescent="0.25">
      <c r="A116" s="20">
        <v>115</v>
      </c>
      <c r="B116" s="21">
        <v>45895</v>
      </c>
      <c r="C116" s="20" t="s">
        <v>89</v>
      </c>
      <c r="D116" s="20" t="s">
        <v>497</v>
      </c>
      <c r="E116" s="20"/>
      <c r="F116" s="22" t="s">
        <v>811</v>
      </c>
      <c r="G116" s="23" t="s">
        <v>202</v>
      </c>
      <c r="H116" s="57">
        <v>0</v>
      </c>
      <c r="I116" s="57">
        <v>5</v>
      </c>
      <c r="J116" s="24">
        <v>3451873.01</v>
      </c>
    </row>
    <row r="117" spans="1:10" ht="25.5" x14ac:dyDescent="0.25">
      <c r="A117" s="20">
        <v>116</v>
      </c>
      <c r="B117" s="21">
        <v>45895</v>
      </c>
      <c r="C117" s="20" t="s">
        <v>89</v>
      </c>
      <c r="D117" s="20" t="s">
        <v>497</v>
      </c>
      <c r="E117" s="20"/>
      <c r="F117" s="22" t="s">
        <v>801</v>
      </c>
      <c r="G117" s="23" t="s">
        <v>203</v>
      </c>
      <c r="H117" s="57">
        <v>0</v>
      </c>
      <c r="I117" s="57">
        <v>2.8538100000000002</v>
      </c>
      <c r="J117" s="24">
        <v>3737254.01</v>
      </c>
    </row>
    <row r="118" spans="1:10" x14ac:dyDescent="0.25">
      <c r="A118" s="20">
        <v>117</v>
      </c>
      <c r="B118" s="21">
        <v>45895</v>
      </c>
      <c r="C118" s="20" t="s">
        <v>89</v>
      </c>
      <c r="D118" s="20" t="s">
        <v>497</v>
      </c>
      <c r="E118" s="20"/>
      <c r="F118" s="22" t="s">
        <v>791</v>
      </c>
      <c r="G118" s="23" t="s">
        <v>204</v>
      </c>
      <c r="H118" s="57">
        <v>0</v>
      </c>
      <c r="I118" s="57">
        <v>5</v>
      </c>
      <c r="J118" s="24">
        <v>4237254.01</v>
      </c>
    </row>
    <row r="119" spans="1:10" x14ac:dyDescent="0.25">
      <c r="A119" s="20">
        <v>118</v>
      </c>
      <c r="B119" s="21">
        <v>45895</v>
      </c>
      <c r="C119" s="20" t="s">
        <v>89</v>
      </c>
      <c r="D119" s="20" t="s">
        <v>91</v>
      </c>
      <c r="E119" s="20"/>
      <c r="F119" s="22" t="s">
        <v>92</v>
      </c>
      <c r="G119" s="23" t="s">
        <v>205</v>
      </c>
      <c r="H119" s="57">
        <v>29</v>
      </c>
      <c r="I119" s="57">
        <v>0</v>
      </c>
      <c r="J119" s="24">
        <v>1337254.01</v>
      </c>
    </row>
    <row r="120" spans="1:10" ht="25.5" x14ac:dyDescent="0.25">
      <c r="A120" s="20">
        <v>119</v>
      </c>
      <c r="B120" s="21">
        <v>45897</v>
      </c>
      <c r="C120" s="20" t="s">
        <v>89</v>
      </c>
      <c r="D120" s="20" t="s">
        <v>497</v>
      </c>
      <c r="E120" s="20"/>
      <c r="F120" s="22" t="s">
        <v>801</v>
      </c>
      <c r="G120" s="23" t="s">
        <v>206</v>
      </c>
      <c r="H120" s="57">
        <v>0</v>
      </c>
      <c r="I120" s="57">
        <v>1.9025300000000001</v>
      </c>
      <c r="J120" s="24">
        <v>1527507.01</v>
      </c>
    </row>
    <row r="121" spans="1:10" x14ac:dyDescent="0.25">
      <c r="A121" s="20">
        <v>120</v>
      </c>
      <c r="B121" s="21">
        <v>45897</v>
      </c>
      <c r="C121" s="20" t="s">
        <v>89</v>
      </c>
      <c r="D121" s="20" t="s">
        <v>497</v>
      </c>
      <c r="E121" s="20"/>
      <c r="F121" s="22" t="s">
        <v>796</v>
      </c>
      <c r="G121" s="23" t="s">
        <v>207</v>
      </c>
      <c r="H121" s="57">
        <v>0</v>
      </c>
      <c r="I121" s="57">
        <v>2.8</v>
      </c>
      <c r="J121" s="24">
        <v>1807507.01</v>
      </c>
    </row>
    <row r="122" spans="1:10" x14ac:dyDescent="0.25">
      <c r="A122" s="20">
        <v>121</v>
      </c>
      <c r="B122" s="21">
        <v>45897</v>
      </c>
      <c r="C122" s="20" t="s">
        <v>89</v>
      </c>
      <c r="D122" s="20" t="s">
        <v>497</v>
      </c>
      <c r="E122" s="20"/>
      <c r="F122" s="22" t="s">
        <v>797</v>
      </c>
      <c r="G122" s="23" t="s">
        <v>208</v>
      </c>
      <c r="H122" s="57">
        <v>0</v>
      </c>
      <c r="I122" s="57">
        <v>3.8845399999999999</v>
      </c>
      <c r="J122" s="24">
        <v>2195961.0099999998</v>
      </c>
    </row>
    <row r="123" spans="1:10" ht="25.5" x14ac:dyDescent="0.25">
      <c r="A123" s="20">
        <v>122</v>
      </c>
      <c r="B123" s="21">
        <v>45897</v>
      </c>
      <c r="C123" s="20" t="s">
        <v>89</v>
      </c>
      <c r="D123" s="20" t="s">
        <v>759</v>
      </c>
      <c r="E123" s="20"/>
      <c r="F123" s="22" t="s">
        <v>774</v>
      </c>
      <c r="G123" s="23" t="s">
        <v>209</v>
      </c>
      <c r="H123" s="57">
        <v>20</v>
      </c>
      <c r="I123" s="57">
        <v>0</v>
      </c>
      <c r="J123" s="24">
        <v>195961.01</v>
      </c>
    </row>
    <row r="124" spans="1:10" x14ac:dyDescent="0.25">
      <c r="A124" s="20">
        <v>123</v>
      </c>
      <c r="B124" s="21">
        <v>45897</v>
      </c>
      <c r="C124" s="20" t="s">
        <v>89</v>
      </c>
      <c r="D124" s="20" t="s">
        <v>759</v>
      </c>
      <c r="E124" s="20"/>
      <c r="F124" s="22" t="s">
        <v>765</v>
      </c>
      <c r="G124" s="23" t="s">
        <v>210</v>
      </c>
      <c r="H124" s="57">
        <v>0.5</v>
      </c>
      <c r="I124" s="57">
        <v>0</v>
      </c>
      <c r="J124" s="24">
        <v>145961.01</v>
      </c>
    </row>
    <row r="125" spans="1:10" x14ac:dyDescent="0.25">
      <c r="A125" s="20">
        <v>124</v>
      </c>
      <c r="B125" s="21">
        <v>45898</v>
      </c>
      <c r="C125" s="20" t="s">
        <v>89</v>
      </c>
      <c r="D125" s="20" t="s">
        <v>497</v>
      </c>
      <c r="E125" s="20"/>
      <c r="F125" s="22" t="s">
        <v>797</v>
      </c>
      <c r="G125" s="23" t="s">
        <v>211</v>
      </c>
      <c r="H125" s="57">
        <v>0</v>
      </c>
      <c r="I125" s="57">
        <v>3.1793300000000002</v>
      </c>
      <c r="J125" s="24">
        <v>463894.01</v>
      </c>
    </row>
    <row r="126" spans="1:10" x14ac:dyDescent="0.25">
      <c r="A126" s="20">
        <v>125</v>
      </c>
      <c r="B126" s="21">
        <v>45898</v>
      </c>
      <c r="C126" s="20" t="s">
        <v>89</v>
      </c>
      <c r="D126" s="20" t="s">
        <v>497</v>
      </c>
      <c r="E126" s="20"/>
      <c r="F126" s="22" t="s">
        <v>796</v>
      </c>
      <c r="G126" s="23" t="s">
        <v>212</v>
      </c>
      <c r="H126" s="57">
        <v>0</v>
      </c>
      <c r="I126" s="57">
        <v>6</v>
      </c>
      <c r="J126" s="24">
        <v>1063894.01</v>
      </c>
    </row>
    <row r="127" spans="1:10" ht="25.5" x14ac:dyDescent="0.25">
      <c r="A127" s="20">
        <v>126</v>
      </c>
      <c r="B127" s="21">
        <v>45898</v>
      </c>
      <c r="C127" s="20" t="s">
        <v>89</v>
      </c>
      <c r="D127" s="20" t="s">
        <v>759</v>
      </c>
      <c r="E127" s="20"/>
      <c r="F127" s="22" t="s">
        <v>774</v>
      </c>
      <c r="G127" s="23" t="s">
        <v>213</v>
      </c>
      <c r="H127" s="57">
        <v>10</v>
      </c>
      <c r="I127" s="57">
        <v>0</v>
      </c>
      <c r="J127" s="24">
        <v>63894.01</v>
      </c>
    </row>
    <row r="128" spans="1:10" x14ac:dyDescent="0.25">
      <c r="A128" s="20">
        <v>127</v>
      </c>
      <c r="B128" s="21">
        <v>45899</v>
      </c>
      <c r="C128" s="20" t="s">
        <v>89</v>
      </c>
      <c r="D128" s="20" t="s">
        <v>809</v>
      </c>
      <c r="E128" s="20"/>
      <c r="F128" s="22" t="s">
        <v>810</v>
      </c>
      <c r="G128" s="23" t="s">
        <v>214</v>
      </c>
      <c r="H128" s="57">
        <v>0</v>
      </c>
      <c r="I128" s="57">
        <v>8</v>
      </c>
      <c r="J128" s="24">
        <v>863894.01</v>
      </c>
    </row>
    <row r="129" spans="1:10" ht="25.5" x14ac:dyDescent="0.25">
      <c r="A129" s="20">
        <v>128</v>
      </c>
      <c r="B129" s="21">
        <v>45899</v>
      </c>
      <c r="C129" s="20" t="s">
        <v>89</v>
      </c>
      <c r="D129" s="20" t="s">
        <v>497</v>
      </c>
      <c r="E129" s="20"/>
      <c r="F129" s="22" t="s">
        <v>801</v>
      </c>
      <c r="G129" s="23" t="s">
        <v>215</v>
      </c>
      <c r="H129" s="57">
        <v>0</v>
      </c>
      <c r="I129" s="57">
        <v>2.0436800000000002</v>
      </c>
      <c r="J129" s="24">
        <v>1068262.01</v>
      </c>
    </row>
    <row r="130" spans="1:10" x14ac:dyDescent="0.25">
      <c r="A130" s="20">
        <v>129</v>
      </c>
      <c r="B130" s="21">
        <v>45899</v>
      </c>
      <c r="C130" s="20" t="s">
        <v>89</v>
      </c>
      <c r="D130" s="20" t="s">
        <v>497</v>
      </c>
      <c r="E130" s="20"/>
      <c r="F130" s="22" t="s">
        <v>796</v>
      </c>
      <c r="G130" s="23" t="s">
        <v>216</v>
      </c>
      <c r="H130" s="57">
        <v>0</v>
      </c>
      <c r="I130" s="57">
        <v>3</v>
      </c>
      <c r="J130" s="24">
        <v>1368262.01</v>
      </c>
    </row>
    <row r="131" spans="1:10" x14ac:dyDescent="0.25">
      <c r="A131" s="20">
        <v>130</v>
      </c>
      <c r="B131" s="21">
        <v>45899</v>
      </c>
      <c r="C131" s="20" t="s">
        <v>89</v>
      </c>
      <c r="D131" s="20" t="s">
        <v>497</v>
      </c>
      <c r="E131" s="20"/>
      <c r="F131" s="22" t="s">
        <v>797</v>
      </c>
      <c r="G131" s="23" t="s">
        <v>217</v>
      </c>
      <c r="H131" s="57">
        <v>0</v>
      </c>
      <c r="I131" s="57">
        <v>3.0916600000000001</v>
      </c>
      <c r="J131" s="24">
        <v>1677428.01</v>
      </c>
    </row>
    <row r="132" spans="1:10" x14ac:dyDescent="0.25">
      <c r="A132" s="20">
        <v>131</v>
      </c>
      <c r="B132" s="21">
        <v>45899</v>
      </c>
      <c r="C132" s="20" t="s">
        <v>89</v>
      </c>
      <c r="D132" s="20" t="s">
        <v>497</v>
      </c>
      <c r="E132" s="20"/>
      <c r="F132" s="22" t="s">
        <v>791</v>
      </c>
      <c r="G132" s="23" t="s">
        <v>218</v>
      </c>
      <c r="H132" s="57">
        <v>0</v>
      </c>
      <c r="I132" s="57">
        <v>6</v>
      </c>
      <c r="J132" s="24">
        <v>2277428.0099999998</v>
      </c>
    </row>
    <row r="133" spans="1:10" x14ac:dyDescent="0.25">
      <c r="A133" s="20">
        <v>132</v>
      </c>
      <c r="B133" s="21">
        <v>45899</v>
      </c>
      <c r="C133" s="20" t="s">
        <v>89</v>
      </c>
      <c r="D133" s="20" t="s">
        <v>809</v>
      </c>
      <c r="E133" s="20"/>
      <c r="F133" s="22" t="s">
        <v>805</v>
      </c>
      <c r="G133" s="23" t="s">
        <v>219</v>
      </c>
      <c r="H133" s="57">
        <v>0</v>
      </c>
      <c r="I133" s="57">
        <v>9</v>
      </c>
      <c r="J133" s="24">
        <v>3177428.01</v>
      </c>
    </row>
    <row r="134" spans="1:10" x14ac:dyDescent="0.25">
      <c r="A134" s="20">
        <v>133</v>
      </c>
      <c r="B134" s="21">
        <v>45899</v>
      </c>
      <c r="C134" s="20" t="s">
        <v>89</v>
      </c>
      <c r="D134" s="25" t="s">
        <v>759</v>
      </c>
      <c r="E134" s="20"/>
      <c r="F134" s="22" t="s">
        <v>773</v>
      </c>
      <c r="G134" s="23" t="s">
        <v>220</v>
      </c>
      <c r="H134" s="57">
        <v>0.5</v>
      </c>
      <c r="I134" s="57">
        <v>0</v>
      </c>
      <c r="J134" s="24">
        <v>3127428.01</v>
      </c>
    </row>
    <row r="135" spans="1:10" x14ac:dyDescent="0.25">
      <c r="A135" s="20">
        <v>134</v>
      </c>
      <c r="B135" s="21">
        <v>45899</v>
      </c>
      <c r="C135" s="20" t="s">
        <v>89</v>
      </c>
      <c r="D135" s="20" t="s">
        <v>809</v>
      </c>
      <c r="E135" s="20"/>
      <c r="F135" s="22" t="s">
        <v>794</v>
      </c>
      <c r="G135" s="23" t="s">
        <v>221</v>
      </c>
      <c r="H135" s="57">
        <v>0</v>
      </c>
      <c r="I135" s="57">
        <v>12</v>
      </c>
      <c r="J135" s="24">
        <v>4327428.01</v>
      </c>
    </row>
    <row r="136" spans="1:10" ht="25.5" x14ac:dyDescent="0.25">
      <c r="A136" s="20">
        <v>135</v>
      </c>
      <c r="B136" s="21">
        <v>45899</v>
      </c>
      <c r="C136" s="20" t="s">
        <v>89</v>
      </c>
      <c r="D136" s="20" t="s">
        <v>759</v>
      </c>
      <c r="E136" s="20"/>
      <c r="F136" s="22" t="s">
        <v>774</v>
      </c>
      <c r="G136" s="23" t="s">
        <v>222</v>
      </c>
      <c r="H136" s="57">
        <v>30</v>
      </c>
      <c r="I136" s="57">
        <v>0</v>
      </c>
      <c r="J136" s="24">
        <v>1327428.01</v>
      </c>
    </row>
    <row r="137" spans="1:10" ht="25.5" x14ac:dyDescent="0.25">
      <c r="A137" s="20">
        <v>136</v>
      </c>
      <c r="B137" s="21">
        <v>45899</v>
      </c>
      <c r="C137" s="20" t="s">
        <v>89</v>
      </c>
      <c r="D137" s="20" t="s">
        <v>809</v>
      </c>
      <c r="E137" s="20"/>
      <c r="F137" s="22" t="s">
        <v>804</v>
      </c>
      <c r="G137" s="23" t="s">
        <v>223</v>
      </c>
      <c r="H137" s="57">
        <v>0</v>
      </c>
      <c r="I137" s="57">
        <v>0.5</v>
      </c>
      <c r="J137" s="24">
        <v>1377428.01</v>
      </c>
    </row>
    <row r="138" spans="1:10" ht="25.5" x14ac:dyDescent="0.25">
      <c r="A138" s="20">
        <v>137</v>
      </c>
      <c r="B138" s="21">
        <v>45901</v>
      </c>
      <c r="C138" s="20" t="s">
        <v>224</v>
      </c>
      <c r="D138" s="20" t="s">
        <v>759</v>
      </c>
      <c r="E138" s="20"/>
      <c r="F138" s="22" t="s">
        <v>774</v>
      </c>
      <c r="G138" s="23" t="s">
        <v>225</v>
      </c>
      <c r="H138" s="57">
        <v>13</v>
      </c>
      <c r="I138" s="57">
        <v>0</v>
      </c>
      <c r="J138" s="24">
        <v>77428.009999999995</v>
      </c>
    </row>
    <row r="139" spans="1:10" x14ac:dyDescent="0.25">
      <c r="A139" s="20">
        <v>138</v>
      </c>
      <c r="B139" s="21">
        <v>45901</v>
      </c>
      <c r="C139" s="20" t="s">
        <v>224</v>
      </c>
      <c r="D139" s="20" t="s">
        <v>809</v>
      </c>
      <c r="E139" s="20"/>
      <c r="F139" s="22" t="s">
        <v>804</v>
      </c>
      <c r="G139" s="23" t="s">
        <v>226</v>
      </c>
      <c r="H139" s="57">
        <v>0</v>
      </c>
      <c r="I139" s="57">
        <v>11</v>
      </c>
      <c r="J139" s="24">
        <v>1177428.01</v>
      </c>
    </row>
    <row r="140" spans="1:10" x14ac:dyDescent="0.25">
      <c r="A140" s="20">
        <v>139</v>
      </c>
      <c r="B140" s="21">
        <v>45901</v>
      </c>
      <c r="C140" s="20" t="s">
        <v>224</v>
      </c>
      <c r="D140" s="20" t="s">
        <v>497</v>
      </c>
      <c r="E140" s="20"/>
      <c r="F140" s="22" t="s">
        <v>796</v>
      </c>
      <c r="G140" s="23" t="s">
        <v>227</v>
      </c>
      <c r="H140" s="57">
        <v>0</v>
      </c>
      <c r="I140" s="57">
        <v>0.74690000000000001</v>
      </c>
      <c r="J140" s="24">
        <v>1252118.01</v>
      </c>
    </row>
    <row r="141" spans="1:10" ht="25.5" x14ac:dyDescent="0.25">
      <c r="A141" s="20">
        <v>140</v>
      </c>
      <c r="B141" s="21">
        <v>45901</v>
      </c>
      <c r="C141" s="20" t="s">
        <v>224</v>
      </c>
      <c r="D141" s="20" t="s">
        <v>809</v>
      </c>
      <c r="E141" s="20"/>
      <c r="F141" s="22" t="s">
        <v>804</v>
      </c>
      <c r="G141" s="23" t="s">
        <v>228</v>
      </c>
      <c r="H141" s="57">
        <v>0</v>
      </c>
      <c r="I141" s="57">
        <v>0.5</v>
      </c>
      <c r="J141" s="24">
        <v>1302118.01</v>
      </c>
    </row>
    <row r="142" spans="1:10" x14ac:dyDescent="0.25">
      <c r="A142" s="20">
        <v>141</v>
      </c>
      <c r="B142" s="21">
        <v>45901</v>
      </c>
      <c r="C142" s="20" t="s">
        <v>224</v>
      </c>
      <c r="D142" s="20" t="s">
        <v>497</v>
      </c>
      <c r="E142" s="20"/>
      <c r="F142" s="22" t="s">
        <v>811</v>
      </c>
      <c r="G142" s="23" t="s">
        <v>229</v>
      </c>
      <c r="H142" s="57">
        <v>0</v>
      </c>
      <c r="I142" s="57">
        <v>7</v>
      </c>
      <c r="J142" s="24">
        <v>2002118.01</v>
      </c>
    </row>
    <row r="143" spans="1:10" x14ac:dyDescent="0.25">
      <c r="A143" s="20">
        <v>142</v>
      </c>
      <c r="B143" s="21">
        <v>45901</v>
      </c>
      <c r="C143" s="20" t="s">
        <v>224</v>
      </c>
      <c r="D143" s="20" t="s">
        <v>809</v>
      </c>
      <c r="E143" s="20"/>
      <c r="F143" s="22" t="s">
        <v>805</v>
      </c>
      <c r="G143" s="23" t="s">
        <v>230</v>
      </c>
      <c r="H143" s="57">
        <v>0</v>
      </c>
      <c r="I143" s="57">
        <v>3</v>
      </c>
      <c r="J143" s="24">
        <v>2302118.0099999998</v>
      </c>
    </row>
    <row r="144" spans="1:10" ht="25.5" x14ac:dyDescent="0.25">
      <c r="A144" s="20">
        <v>143</v>
      </c>
      <c r="B144" s="21">
        <v>45902</v>
      </c>
      <c r="C144" s="20" t="s">
        <v>224</v>
      </c>
      <c r="D144" s="20" t="s">
        <v>759</v>
      </c>
      <c r="E144" s="20"/>
      <c r="F144" s="22" t="s">
        <v>774</v>
      </c>
      <c r="G144" s="23" t="s">
        <v>231</v>
      </c>
      <c r="H144" s="57">
        <v>8.5351499999999998</v>
      </c>
      <c r="I144" s="57">
        <v>0</v>
      </c>
      <c r="J144" s="24">
        <v>1448603.01</v>
      </c>
    </row>
    <row r="145" spans="1:10" x14ac:dyDescent="0.25">
      <c r="A145" s="20">
        <v>144</v>
      </c>
      <c r="B145" s="21">
        <v>45902</v>
      </c>
      <c r="C145" s="20" t="s">
        <v>224</v>
      </c>
      <c r="D145" s="20" t="s">
        <v>497</v>
      </c>
      <c r="E145" s="20"/>
      <c r="F145" s="22" t="s">
        <v>797</v>
      </c>
      <c r="G145" s="23" t="s">
        <v>232</v>
      </c>
      <c r="H145" s="57">
        <v>0</v>
      </c>
      <c r="I145" s="57">
        <v>5.85215</v>
      </c>
      <c r="J145" s="24">
        <v>2033818.01</v>
      </c>
    </row>
    <row r="146" spans="1:10" x14ac:dyDescent="0.25">
      <c r="A146" s="20">
        <v>145</v>
      </c>
      <c r="B146" s="21">
        <v>45902</v>
      </c>
      <c r="C146" s="20" t="s">
        <v>224</v>
      </c>
      <c r="D146" s="20" t="s">
        <v>787</v>
      </c>
      <c r="E146" s="20">
        <v>1544108</v>
      </c>
      <c r="F146" s="22" t="s">
        <v>763</v>
      </c>
      <c r="G146" s="23" t="s">
        <v>233</v>
      </c>
      <c r="H146" s="57">
        <v>1.1299999999999999</v>
      </c>
      <c r="I146" s="57">
        <v>0</v>
      </c>
      <c r="J146" s="24">
        <v>1920818.01</v>
      </c>
    </row>
    <row r="147" spans="1:10" ht="25.5" x14ac:dyDescent="0.25">
      <c r="A147" s="20">
        <v>146</v>
      </c>
      <c r="B147" s="21">
        <v>45902</v>
      </c>
      <c r="C147" s="20" t="s">
        <v>224</v>
      </c>
      <c r="D147" s="20" t="s">
        <v>497</v>
      </c>
      <c r="E147" s="20"/>
      <c r="F147" s="22" t="s">
        <v>801</v>
      </c>
      <c r="G147" s="23" t="s">
        <v>234</v>
      </c>
      <c r="H147" s="57">
        <v>0</v>
      </c>
      <c r="I147" s="57">
        <v>3.1805500000000002</v>
      </c>
      <c r="J147" s="24">
        <v>2238873.0099999998</v>
      </c>
    </row>
    <row r="148" spans="1:10" x14ac:dyDescent="0.25">
      <c r="A148" s="20">
        <v>147</v>
      </c>
      <c r="B148" s="21">
        <v>45903</v>
      </c>
      <c r="C148" s="20" t="s">
        <v>224</v>
      </c>
      <c r="D148" s="20" t="s">
        <v>497</v>
      </c>
      <c r="E148" s="20"/>
      <c r="F148" s="22" t="s">
        <v>796</v>
      </c>
      <c r="G148" s="23" t="s">
        <v>235</v>
      </c>
      <c r="H148" s="57">
        <v>0</v>
      </c>
      <c r="I148" s="57">
        <v>2</v>
      </c>
      <c r="J148" s="24">
        <v>2438873.0099999998</v>
      </c>
    </row>
    <row r="149" spans="1:10" x14ac:dyDescent="0.25">
      <c r="A149" s="20">
        <v>148</v>
      </c>
      <c r="B149" s="21">
        <v>45903</v>
      </c>
      <c r="C149" s="20" t="s">
        <v>224</v>
      </c>
      <c r="D149" s="20" t="s">
        <v>759</v>
      </c>
      <c r="E149" s="20"/>
      <c r="F149" s="22" t="s">
        <v>778</v>
      </c>
      <c r="G149" s="23" t="s">
        <v>236</v>
      </c>
      <c r="H149" s="57">
        <v>10</v>
      </c>
      <c r="I149" s="57">
        <v>0</v>
      </c>
      <c r="J149" s="24">
        <v>1438873.01</v>
      </c>
    </row>
    <row r="150" spans="1:10" x14ac:dyDescent="0.25">
      <c r="A150" s="20">
        <v>149</v>
      </c>
      <c r="B150" s="21">
        <v>45903</v>
      </c>
      <c r="C150" s="20" t="s">
        <v>224</v>
      </c>
      <c r="D150" s="20" t="s">
        <v>497</v>
      </c>
      <c r="E150" s="20"/>
      <c r="F150" s="22" t="s">
        <v>797</v>
      </c>
      <c r="G150" s="23" t="s">
        <v>237</v>
      </c>
      <c r="H150" s="57">
        <v>0</v>
      </c>
      <c r="I150" s="57">
        <v>2.2753999999999999</v>
      </c>
      <c r="J150" s="24">
        <v>1666413.01</v>
      </c>
    </row>
    <row r="151" spans="1:10" x14ac:dyDescent="0.25">
      <c r="A151" s="20">
        <v>150</v>
      </c>
      <c r="B151" s="21">
        <v>45903</v>
      </c>
      <c r="C151" s="20" t="s">
        <v>224</v>
      </c>
      <c r="D151" s="20" t="s">
        <v>497</v>
      </c>
      <c r="E151" s="20"/>
      <c r="F151" s="22" t="s">
        <v>801</v>
      </c>
      <c r="G151" s="23" t="s">
        <v>238</v>
      </c>
      <c r="H151" s="57">
        <v>0</v>
      </c>
      <c r="I151" s="57">
        <v>3.1109599999999999</v>
      </c>
      <c r="J151" s="24">
        <v>1977509.01</v>
      </c>
    </row>
    <row r="152" spans="1:10" x14ac:dyDescent="0.25">
      <c r="A152" s="20">
        <v>151</v>
      </c>
      <c r="B152" s="21">
        <v>45904</v>
      </c>
      <c r="C152" s="20" t="s">
        <v>224</v>
      </c>
      <c r="D152" s="20" t="s">
        <v>497</v>
      </c>
      <c r="E152" s="20"/>
      <c r="F152" s="22" t="s">
        <v>796</v>
      </c>
      <c r="G152" s="23" t="s">
        <v>239</v>
      </c>
      <c r="H152" s="57">
        <v>0</v>
      </c>
      <c r="I152" s="57">
        <v>2.5</v>
      </c>
      <c r="J152" s="24">
        <v>2227509.0099999998</v>
      </c>
    </row>
    <row r="153" spans="1:10" x14ac:dyDescent="0.25">
      <c r="A153" s="20">
        <v>152</v>
      </c>
      <c r="B153" s="21">
        <v>45904</v>
      </c>
      <c r="C153" s="20" t="s">
        <v>224</v>
      </c>
      <c r="D153" s="20" t="s">
        <v>497</v>
      </c>
      <c r="E153" s="20"/>
      <c r="F153" s="22" t="s">
        <v>797</v>
      </c>
      <c r="G153" s="23" t="s">
        <v>240</v>
      </c>
      <c r="H153" s="57">
        <v>0</v>
      </c>
      <c r="I153" s="57">
        <v>4.9209399999999999</v>
      </c>
      <c r="J153" s="24">
        <v>2719603.01</v>
      </c>
    </row>
    <row r="154" spans="1:10" x14ac:dyDescent="0.25">
      <c r="A154" s="20">
        <v>153</v>
      </c>
      <c r="B154" s="21">
        <v>45904</v>
      </c>
      <c r="C154" s="20" t="s">
        <v>224</v>
      </c>
      <c r="D154" s="20" t="s">
        <v>497</v>
      </c>
      <c r="E154" s="20"/>
      <c r="F154" s="22" t="s">
        <v>801</v>
      </c>
      <c r="G154" s="23" t="s">
        <v>241</v>
      </c>
      <c r="H154" s="57">
        <v>0</v>
      </c>
      <c r="I154" s="57">
        <v>2.6140500000000002</v>
      </c>
      <c r="J154" s="24">
        <v>2981008.01</v>
      </c>
    </row>
    <row r="155" spans="1:10" ht="25.5" x14ac:dyDescent="0.25">
      <c r="A155" s="20">
        <v>154</v>
      </c>
      <c r="B155" s="21">
        <v>45904</v>
      </c>
      <c r="C155" s="20" t="s">
        <v>224</v>
      </c>
      <c r="D155" s="20" t="s">
        <v>759</v>
      </c>
      <c r="E155" s="20"/>
      <c r="F155" s="22" t="s">
        <v>774</v>
      </c>
      <c r="G155" s="23" t="s">
        <v>242</v>
      </c>
      <c r="H155" s="57">
        <v>10</v>
      </c>
      <c r="I155" s="57">
        <v>0</v>
      </c>
      <c r="J155" s="24">
        <v>1981008.01</v>
      </c>
    </row>
    <row r="156" spans="1:10" x14ac:dyDescent="0.25">
      <c r="A156" s="20">
        <v>155</v>
      </c>
      <c r="B156" s="21">
        <v>45904</v>
      </c>
      <c r="C156" s="20" t="s">
        <v>224</v>
      </c>
      <c r="D156" s="20" t="s">
        <v>759</v>
      </c>
      <c r="E156" s="20"/>
      <c r="F156" s="22" t="s">
        <v>765</v>
      </c>
      <c r="G156" s="23" t="s">
        <v>243</v>
      </c>
      <c r="H156" s="57">
        <v>0.1</v>
      </c>
      <c r="I156" s="57">
        <v>0</v>
      </c>
      <c r="J156" s="24">
        <v>1971008.01</v>
      </c>
    </row>
    <row r="157" spans="1:10" x14ac:dyDescent="0.25">
      <c r="A157" s="20">
        <v>156</v>
      </c>
      <c r="B157" s="21">
        <v>45904</v>
      </c>
      <c r="C157" s="20" t="s">
        <v>224</v>
      </c>
      <c r="D157" s="20" t="s">
        <v>140</v>
      </c>
      <c r="E157" s="20"/>
      <c r="F157" s="22" t="s">
        <v>141</v>
      </c>
      <c r="G157" s="23" t="s">
        <v>244</v>
      </c>
      <c r="H157" s="57">
        <v>1</v>
      </c>
      <c r="I157" s="57">
        <v>0</v>
      </c>
      <c r="J157" s="24">
        <v>1871008.01</v>
      </c>
    </row>
    <row r="158" spans="1:10" x14ac:dyDescent="0.25">
      <c r="A158" s="20">
        <v>157</v>
      </c>
      <c r="B158" s="21">
        <v>45904</v>
      </c>
      <c r="C158" s="20" t="s">
        <v>224</v>
      </c>
      <c r="D158" s="20" t="s">
        <v>746</v>
      </c>
      <c r="E158" s="20"/>
      <c r="F158" s="22" t="s">
        <v>757</v>
      </c>
      <c r="G158" s="23" t="s">
        <v>245</v>
      </c>
      <c r="H158" s="57">
        <v>2.8100700000000001</v>
      </c>
      <c r="I158" s="57">
        <v>0</v>
      </c>
      <c r="J158" s="24">
        <v>1590001.01</v>
      </c>
    </row>
    <row r="159" spans="1:10" x14ac:dyDescent="0.25">
      <c r="A159" s="20">
        <v>158</v>
      </c>
      <c r="B159" s="21">
        <v>45904</v>
      </c>
      <c r="C159" s="20" t="s">
        <v>224</v>
      </c>
      <c r="D159" s="20" t="s">
        <v>746</v>
      </c>
      <c r="E159" s="20"/>
      <c r="F159" s="22" t="s">
        <v>757</v>
      </c>
      <c r="G159" s="23" t="s">
        <v>246</v>
      </c>
      <c r="H159" s="57">
        <v>5.1020000000000003E-2</v>
      </c>
      <c r="I159" s="57">
        <v>0</v>
      </c>
      <c r="J159" s="24">
        <v>1584899.01</v>
      </c>
    </row>
    <row r="160" spans="1:10" x14ac:dyDescent="0.25">
      <c r="A160" s="20">
        <v>159</v>
      </c>
      <c r="B160" s="21">
        <v>45904</v>
      </c>
      <c r="C160" s="20" t="s">
        <v>224</v>
      </c>
      <c r="D160" s="20" t="s">
        <v>787</v>
      </c>
      <c r="E160" s="20">
        <v>1544113</v>
      </c>
      <c r="F160" s="22" t="s">
        <v>790</v>
      </c>
      <c r="G160" s="23" t="s">
        <v>247</v>
      </c>
      <c r="H160" s="57">
        <v>1</v>
      </c>
      <c r="I160" s="57">
        <v>0</v>
      </c>
      <c r="J160" s="24">
        <v>1484899.01</v>
      </c>
    </row>
    <row r="161" spans="1:10" x14ac:dyDescent="0.25">
      <c r="A161" s="20">
        <v>160</v>
      </c>
      <c r="B161" s="21">
        <v>45905</v>
      </c>
      <c r="C161" s="20" t="s">
        <v>224</v>
      </c>
      <c r="D161" s="20" t="s">
        <v>497</v>
      </c>
      <c r="E161" s="20"/>
      <c r="F161" s="22" t="s">
        <v>797</v>
      </c>
      <c r="G161" s="23" t="s">
        <v>248</v>
      </c>
      <c r="H161" s="57">
        <v>0</v>
      </c>
      <c r="I161" s="57">
        <v>2.3455900000000001</v>
      </c>
      <c r="J161" s="24">
        <v>1719458.01</v>
      </c>
    </row>
    <row r="162" spans="1:10" x14ac:dyDescent="0.25">
      <c r="A162" s="20">
        <v>161</v>
      </c>
      <c r="B162" s="21">
        <v>45905</v>
      </c>
      <c r="C162" s="20" t="s">
        <v>224</v>
      </c>
      <c r="D162" s="20" t="s">
        <v>759</v>
      </c>
      <c r="E162" s="20"/>
      <c r="F162" s="22" t="s">
        <v>778</v>
      </c>
      <c r="G162" s="23" t="s">
        <v>249</v>
      </c>
      <c r="H162" s="57">
        <v>15</v>
      </c>
      <c r="I162" s="57">
        <v>0</v>
      </c>
      <c r="J162" s="24">
        <v>219458.01</v>
      </c>
    </row>
    <row r="163" spans="1:10" x14ac:dyDescent="0.25">
      <c r="A163" s="20">
        <v>162</v>
      </c>
      <c r="B163" s="21">
        <v>45906</v>
      </c>
      <c r="C163" s="20" t="s">
        <v>224</v>
      </c>
      <c r="D163" s="20" t="s">
        <v>809</v>
      </c>
      <c r="E163" s="20"/>
      <c r="F163" s="22" t="s">
        <v>808</v>
      </c>
      <c r="G163" s="23" t="s">
        <v>250</v>
      </c>
      <c r="H163" s="57">
        <v>0</v>
      </c>
      <c r="I163" s="57">
        <v>14</v>
      </c>
      <c r="J163" s="24">
        <v>1619458.01</v>
      </c>
    </row>
    <row r="164" spans="1:10" x14ac:dyDescent="0.25">
      <c r="A164" s="20">
        <v>163</v>
      </c>
      <c r="B164" s="21">
        <v>45906</v>
      </c>
      <c r="C164" s="20" t="s">
        <v>224</v>
      </c>
      <c r="D164" s="20" t="s">
        <v>497</v>
      </c>
      <c r="E164" s="20"/>
      <c r="F164" s="22" t="s">
        <v>796</v>
      </c>
      <c r="G164" s="23" t="s">
        <v>251</v>
      </c>
      <c r="H164" s="57">
        <v>0</v>
      </c>
      <c r="I164" s="57">
        <v>2.5</v>
      </c>
      <c r="J164" s="24">
        <v>1869458.01</v>
      </c>
    </row>
    <row r="165" spans="1:10" x14ac:dyDescent="0.25">
      <c r="A165" s="20">
        <v>164</v>
      </c>
      <c r="B165" s="21">
        <v>45906</v>
      </c>
      <c r="C165" s="20" t="s">
        <v>224</v>
      </c>
      <c r="D165" s="20" t="s">
        <v>497</v>
      </c>
      <c r="E165" s="20"/>
      <c r="F165" s="22" t="s">
        <v>797</v>
      </c>
      <c r="G165" s="23" t="s">
        <v>252</v>
      </c>
      <c r="H165" s="57">
        <v>0</v>
      </c>
      <c r="I165" s="57">
        <v>3.3721899999999998</v>
      </c>
      <c r="J165" s="24">
        <v>2206677.0099999998</v>
      </c>
    </row>
    <row r="166" spans="1:10" x14ac:dyDescent="0.25">
      <c r="A166" s="20">
        <v>165</v>
      </c>
      <c r="B166" s="21">
        <v>45906</v>
      </c>
      <c r="C166" s="20" t="s">
        <v>224</v>
      </c>
      <c r="D166" s="20" t="s">
        <v>752</v>
      </c>
      <c r="E166" s="20"/>
      <c r="F166" s="22" t="s">
        <v>754</v>
      </c>
      <c r="G166" s="23" t="s">
        <v>188</v>
      </c>
      <c r="H166" s="57">
        <v>5.9000000000000003E-4</v>
      </c>
      <c r="I166" s="57">
        <v>0</v>
      </c>
      <c r="J166" s="24">
        <v>2206618.0099999998</v>
      </c>
    </row>
    <row r="167" spans="1:10" x14ac:dyDescent="0.25">
      <c r="A167" s="20">
        <v>166</v>
      </c>
      <c r="B167" s="21">
        <v>45908</v>
      </c>
      <c r="C167" s="20" t="s">
        <v>224</v>
      </c>
      <c r="D167" s="20" t="s">
        <v>759</v>
      </c>
      <c r="E167" s="20"/>
      <c r="F167" s="22" t="s">
        <v>778</v>
      </c>
      <c r="G167" s="23" t="s">
        <v>253</v>
      </c>
      <c r="H167" s="57">
        <v>20</v>
      </c>
      <c r="I167" s="57">
        <v>0</v>
      </c>
      <c r="J167" s="24">
        <v>206618.01</v>
      </c>
    </row>
    <row r="168" spans="1:10" x14ac:dyDescent="0.25">
      <c r="A168" s="20">
        <v>167</v>
      </c>
      <c r="B168" s="21">
        <v>45908</v>
      </c>
      <c r="C168" s="20" t="s">
        <v>224</v>
      </c>
      <c r="D168" s="20" t="s">
        <v>809</v>
      </c>
      <c r="E168" s="20"/>
      <c r="F168" s="22" t="s">
        <v>808</v>
      </c>
      <c r="G168" s="23" t="s">
        <v>254</v>
      </c>
      <c r="H168" s="57">
        <v>0</v>
      </c>
      <c r="I168" s="57">
        <v>10</v>
      </c>
      <c r="J168" s="24">
        <v>1206618.01</v>
      </c>
    </row>
    <row r="169" spans="1:10" x14ac:dyDescent="0.25">
      <c r="A169" s="20">
        <v>168</v>
      </c>
      <c r="B169" s="21">
        <v>45908</v>
      </c>
      <c r="C169" s="20" t="s">
        <v>224</v>
      </c>
      <c r="D169" s="20" t="s">
        <v>497</v>
      </c>
      <c r="E169" s="20"/>
      <c r="F169" s="22" t="s">
        <v>796</v>
      </c>
      <c r="G169" s="23" t="s">
        <v>255</v>
      </c>
      <c r="H169" s="57">
        <v>0</v>
      </c>
      <c r="I169" s="57">
        <v>0.36263000000000001</v>
      </c>
      <c r="J169" s="24">
        <v>1242881.01</v>
      </c>
    </row>
    <row r="170" spans="1:10" ht="25.5" x14ac:dyDescent="0.25">
      <c r="A170" s="20">
        <v>169</v>
      </c>
      <c r="B170" s="21">
        <v>45908</v>
      </c>
      <c r="C170" s="20" t="s">
        <v>224</v>
      </c>
      <c r="D170" s="20" t="s">
        <v>759</v>
      </c>
      <c r="E170" s="20"/>
      <c r="F170" s="22" t="s">
        <v>772</v>
      </c>
      <c r="G170" s="23" t="s">
        <v>256</v>
      </c>
      <c r="H170" s="57">
        <v>0.4</v>
      </c>
      <c r="I170" s="57">
        <v>0</v>
      </c>
      <c r="J170" s="24">
        <v>1202881.01</v>
      </c>
    </row>
    <row r="171" spans="1:10" ht="25.5" x14ac:dyDescent="0.25">
      <c r="A171" s="20">
        <v>170</v>
      </c>
      <c r="B171" s="21">
        <v>45908</v>
      </c>
      <c r="C171" s="20" t="s">
        <v>224</v>
      </c>
      <c r="D171" s="20" t="s">
        <v>759</v>
      </c>
      <c r="E171" s="20"/>
      <c r="F171" s="22" t="s">
        <v>762</v>
      </c>
      <c r="G171" s="23" t="s">
        <v>257</v>
      </c>
      <c r="H171" s="57">
        <v>0.35</v>
      </c>
      <c r="I171" s="57">
        <v>0</v>
      </c>
      <c r="J171" s="24">
        <v>1167881.01</v>
      </c>
    </row>
    <row r="172" spans="1:10" x14ac:dyDescent="0.25">
      <c r="A172" s="20">
        <v>171</v>
      </c>
      <c r="B172" s="21">
        <v>45908</v>
      </c>
      <c r="C172" s="20" t="s">
        <v>224</v>
      </c>
      <c r="D172" s="20" t="s">
        <v>497</v>
      </c>
      <c r="E172" s="20"/>
      <c r="F172" s="22" t="s">
        <v>801</v>
      </c>
      <c r="G172" s="23" t="s">
        <v>258</v>
      </c>
      <c r="H172" s="57">
        <v>0</v>
      </c>
      <c r="I172" s="57">
        <v>6.0692000000000004</v>
      </c>
      <c r="J172" s="24">
        <v>1774801.01</v>
      </c>
    </row>
    <row r="173" spans="1:10" x14ac:dyDescent="0.25">
      <c r="A173" s="20">
        <v>172</v>
      </c>
      <c r="B173" s="21">
        <v>45908</v>
      </c>
      <c r="C173" s="20" t="s">
        <v>224</v>
      </c>
      <c r="D173" s="20" t="s">
        <v>497</v>
      </c>
      <c r="E173" s="20"/>
      <c r="F173" s="22" t="s">
        <v>789</v>
      </c>
      <c r="G173" s="23" t="s">
        <v>259</v>
      </c>
      <c r="H173" s="57">
        <v>0</v>
      </c>
      <c r="I173" s="57">
        <v>0.35</v>
      </c>
      <c r="J173" s="24">
        <v>1809801.01</v>
      </c>
    </row>
    <row r="174" spans="1:10" x14ac:dyDescent="0.25">
      <c r="A174" s="20">
        <v>173</v>
      </c>
      <c r="B174" s="21">
        <v>45909</v>
      </c>
      <c r="C174" s="20" t="s">
        <v>224</v>
      </c>
      <c r="D174" s="20" t="s">
        <v>759</v>
      </c>
      <c r="E174" s="20"/>
      <c r="F174" s="22" t="s">
        <v>778</v>
      </c>
      <c r="G174" s="23" t="s">
        <v>260</v>
      </c>
      <c r="H174" s="57">
        <v>15</v>
      </c>
      <c r="I174" s="57">
        <v>0</v>
      </c>
      <c r="J174" s="24">
        <v>309801.01</v>
      </c>
    </row>
    <row r="175" spans="1:10" x14ac:dyDescent="0.25">
      <c r="A175" s="20">
        <v>174</v>
      </c>
      <c r="B175" s="21">
        <v>45909</v>
      </c>
      <c r="C175" s="20" t="s">
        <v>224</v>
      </c>
      <c r="D175" s="20" t="s">
        <v>497</v>
      </c>
      <c r="E175" s="20"/>
      <c r="F175" s="22" t="s">
        <v>797</v>
      </c>
      <c r="G175" s="23" t="s">
        <v>261</v>
      </c>
      <c r="H175" s="57">
        <v>0</v>
      </c>
      <c r="I175" s="57">
        <v>9.0256299999999996</v>
      </c>
      <c r="J175" s="24">
        <v>1212364.01</v>
      </c>
    </row>
    <row r="176" spans="1:10" x14ac:dyDescent="0.25">
      <c r="A176" s="20">
        <v>175</v>
      </c>
      <c r="B176" s="21">
        <v>45909</v>
      </c>
      <c r="C176" s="20" t="s">
        <v>224</v>
      </c>
      <c r="D176" s="20" t="s">
        <v>497</v>
      </c>
      <c r="E176" s="20"/>
      <c r="F176" s="22" t="s">
        <v>796</v>
      </c>
      <c r="G176" s="23" t="s">
        <v>262</v>
      </c>
      <c r="H176" s="57">
        <v>0</v>
      </c>
      <c r="I176" s="57">
        <v>3</v>
      </c>
      <c r="J176" s="24">
        <v>1512364.01</v>
      </c>
    </row>
    <row r="177" spans="1:10" x14ac:dyDescent="0.25">
      <c r="A177" s="20">
        <v>176</v>
      </c>
      <c r="B177" s="21">
        <v>45909</v>
      </c>
      <c r="C177" s="20" t="s">
        <v>224</v>
      </c>
      <c r="D177" s="20" t="s">
        <v>746</v>
      </c>
      <c r="E177" s="20"/>
      <c r="F177" s="22" t="s">
        <v>125</v>
      </c>
      <c r="G177" s="23" t="s">
        <v>263</v>
      </c>
      <c r="H177" s="57">
        <v>1.78054</v>
      </c>
      <c r="I177" s="57">
        <v>0</v>
      </c>
      <c r="J177" s="24">
        <v>1334310.01</v>
      </c>
    </row>
    <row r="178" spans="1:10" x14ac:dyDescent="0.25">
      <c r="A178" s="20">
        <v>177</v>
      </c>
      <c r="B178" s="21">
        <v>45909</v>
      </c>
      <c r="C178" s="20" t="s">
        <v>224</v>
      </c>
      <c r="D178" s="20" t="s">
        <v>759</v>
      </c>
      <c r="E178" s="20"/>
      <c r="F178" s="22" t="s">
        <v>785</v>
      </c>
      <c r="G178" s="23" t="s">
        <v>264</v>
      </c>
      <c r="H178" s="57">
        <v>0.1</v>
      </c>
      <c r="I178" s="57">
        <v>0</v>
      </c>
      <c r="J178" s="24">
        <v>1324310.01</v>
      </c>
    </row>
    <row r="179" spans="1:10" ht="25.5" x14ac:dyDescent="0.25">
      <c r="A179" s="20">
        <v>178</v>
      </c>
      <c r="B179" s="21">
        <v>45909</v>
      </c>
      <c r="C179" s="20" t="s">
        <v>224</v>
      </c>
      <c r="D179" s="20" t="s">
        <v>759</v>
      </c>
      <c r="E179" s="20"/>
      <c r="F179" s="22" t="s">
        <v>762</v>
      </c>
      <c r="G179" s="23" t="s">
        <v>265</v>
      </c>
      <c r="H179" s="57">
        <v>0.35</v>
      </c>
      <c r="I179" s="57">
        <v>0</v>
      </c>
      <c r="J179" s="24">
        <v>1289310.01</v>
      </c>
    </row>
    <row r="180" spans="1:10" x14ac:dyDescent="0.25">
      <c r="A180" s="20">
        <v>179</v>
      </c>
      <c r="B180" s="21">
        <v>45909</v>
      </c>
      <c r="C180" s="20" t="s">
        <v>224</v>
      </c>
      <c r="D180" s="20" t="s">
        <v>497</v>
      </c>
      <c r="E180" s="20"/>
      <c r="F180" s="22" t="s">
        <v>800</v>
      </c>
      <c r="G180" s="23" t="s">
        <v>266</v>
      </c>
      <c r="H180" s="57">
        <v>0</v>
      </c>
      <c r="I180" s="57">
        <v>5.557436</v>
      </c>
      <c r="J180" s="24">
        <v>1845053.61</v>
      </c>
    </row>
    <row r="181" spans="1:10" x14ac:dyDescent="0.25">
      <c r="A181" s="20">
        <v>180</v>
      </c>
      <c r="B181" s="21">
        <v>45909</v>
      </c>
      <c r="C181" s="20" t="s">
        <v>224</v>
      </c>
      <c r="D181" s="20" t="s">
        <v>91</v>
      </c>
      <c r="E181" s="20"/>
      <c r="F181" s="22" t="s">
        <v>92</v>
      </c>
      <c r="G181" s="23" t="s">
        <v>267</v>
      </c>
      <c r="H181" s="57">
        <v>5.5</v>
      </c>
      <c r="I181" s="57">
        <v>0</v>
      </c>
      <c r="J181" s="24">
        <v>1295053.6100000001</v>
      </c>
    </row>
    <row r="182" spans="1:10" x14ac:dyDescent="0.25">
      <c r="A182" s="20">
        <v>181</v>
      </c>
      <c r="B182" s="21">
        <v>45909</v>
      </c>
      <c r="C182" s="20" t="s">
        <v>224</v>
      </c>
      <c r="D182" s="25" t="s">
        <v>759</v>
      </c>
      <c r="E182" s="20"/>
      <c r="F182" s="22" t="s">
        <v>773</v>
      </c>
      <c r="G182" s="23" t="s">
        <v>268</v>
      </c>
      <c r="H182" s="57">
        <v>1.61134</v>
      </c>
      <c r="I182" s="57">
        <v>0</v>
      </c>
      <c r="J182" s="24">
        <v>1133919.6100000001</v>
      </c>
    </row>
    <row r="183" spans="1:10" x14ac:dyDescent="0.25">
      <c r="A183" s="20">
        <v>182</v>
      </c>
      <c r="B183" s="21">
        <v>45909</v>
      </c>
      <c r="C183" s="20" t="s">
        <v>224</v>
      </c>
      <c r="D183" s="25" t="s">
        <v>759</v>
      </c>
      <c r="E183" s="20"/>
      <c r="F183" s="22" t="s">
        <v>776</v>
      </c>
      <c r="G183" s="23" t="s">
        <v>269</v>
      </c>
      <c r="H183" s="57">
        <v>0.87570000000000003</v>
      </c>
      <c r="I183" s="57">
        <v>0</v>
      </c>
      <c r="J183" s="24">
        <v>1046349.61</v>
      </c>
    </row>
    <row r="184" spans="1:10" x14ac:dyDescent="0.25">
      <c r="A184" s="20">
        <v>183</v>
      </c>
      <c r="B184" s="21">
        <v>45909</v>
      </c>
      <c r="C184" s="20" t="s">
        <v>224</v>
      </c>
      <c r="D184" s="20" t="s">
        <v>759</v>
      </c>
      <c r="E184" s="20"/>
      <c r="F184" s="22" t="s">
        <v>766</v>
      </c>
      <c r="G184" s="23" t="s">
        <v>270</v>
      </c>
      <c r="H184" s="57">
        <v>0.70904</v>
      </c>
      <c r="I184" s="57">
        <v>0</v>
      </c>
      <c r="J184" s="24">
        <v>975445.61</v>
      </c>
    </row>
    <row r="185" spans="1:10" x14ac:dyDescent="0.25">
      <c r="A185" s="20">
        <v>184</v>
      </c>
      <c r="B185" s="21">
        <v>45909</v>
      </c>
      <c r="C185" s="20" t="s">
        <v>224</v>
      </c>
      <c r="D185" s="25" t="s">
        <v>759</v>
      </c>
      <c r="E185" s="20"/>
      <c r="F185" s="22" t="s">
        <v>769</v>
      </c>
      <c r="G185" s="23" t="s">
        <v>271</v>
      </c>
      <c r="H185" s="57">
        <v>0.12855</v>
      </c>
      <c r="I185" s="57">
        <v>0</v>
      </c>
      <c r="J185" s="24">
        <v>962590.61</v>
      </c>
    </row>
    <row r="186" spans="1:10" x14ac:dyDescent="0.25">
      <c r="A186" s="20">
        <v>185</v>
      </c>
      <c r="B186" s="21">
        <v>45909</v>
      </c>
      <c r="C186" s="20" t="s">
        <v>224</v>
      </c>
      <c r="D186" s="20" t="s">
        <v>759</v>
      </c>
      <c r="E186" s="20"/>
      <c r="F186" s="22" t="s">
        <v>784</v>
      </c>
      <c r="G186" s="23" t="s">
        <v>272</v>
      </c>
      <c r="H186" s="57">
        <v>0.66</v>
      </c>
      <c r="I186" s="57">
        <v>0</v>
      </c>
      <c r="J186" s="24">
        <v>896590.61</v>
      </c>
    </row>
    <row r="187" spans="1:10" x14ac:dyDescent="0.25">
      <c r="A187" s="20">
        <v>186</v>
      </c>
      <c r="B187" s="21">
        <v>45909</v>
      </c>
      <c r="C187" s="20" t="s">
        <v>224</v>
      </c>
      <c r="D187" s="20" t="s">
        <v>759</v>
      </c>
      <c r="E187" s="20"/>
      <c r="F187" s="22" t="s">
        <v>778</v>
      </c>
      <c r="G187" s="23" t="s">
        <v>273</v>
      </c>
      <c r="H187" s="57">
        <v>8</v>
      </c>
      <c r="I187" s="57">
        <v>0</v>
      </c>
      <c r="J187" s="24">
        <v>96590.61</v>
      </c>
    </row>
    <row r="188" spans="1:10" x14ac:dyDescent="0.25">
      <c r="A188" s="20">
        <v>187</v>
      </c>
      <c r="B188" s="21">
        <v>45909</v>
      </c>
      <c r="C188" s="20" t="s">
        <v>224</v>
      </c>
      <c r="D188" s="20" t="s">
        <v>809</v>
      </c>
      <c r="E188" s="20"/>
      <c r="F188" s="22" t="s">
        <v>808</v>
      </c>
      <c r="G188" s="23" t="s">
        <v>274</v>
      </c>
      <c r="H188" s="57">
        <v>0</v>
      </c>
      <c r="I188" s="57">
        <v>3</v>
      </c>
      <c r="J188" s="24">
        <v>396590.61</v>
      </c>
    </row>
    <row r="189" spans="1:10" x14ac:dyDescent="0.25">
      <c r="A189" s="20">
        <v>188</v>
      </c>
      <c r="B189" s="21">
        <v>45909</v>
      </c>
      <c r="C189" s="20" t="s">
        <v>224</v>
      </c>
      <c r="D189" s="20" t="s">
        <v>809</v>
      </c>
      <c r="E189" s="20"/>
      <c r="F189" s="22" t="s">
        <v>808</v>
      </c>
      <c r="G189" s="23" t="s">
        <v>275</v>
      </c>
      <c r="H189" s="57">
        <v>0</v>
      </c>
      <c r="I189" s="57">
        <v>11</v>
      </c>
      <c r="J189" s="24">
        <v>1496590.61</v>
      </c>
    </row>
    <row r="190" spans="1:10" x14ac:dyDescent="0.25">
      <c r="A190" s="20">
        <v>189</v>
      </c>
      <c r="B190" s="21">
        <v>45910</v>
      </c>
      <c r="C190" s="20" t="s">
        <v>224</v>
      </c>
      <c r="D190" s="20" t="s">
        <v>759</v>
      </c>
      <c r="E190" s="20"/>
      <c r="F190" s="22" t="s">
        <v>778</v>
      </c>
      <c r="G190" s="23" t="s">
        <v>276</v>
      </c>
      <c r="H190" s="57">
        <v>10</v>
      </c>
      <c r="I190" s="57">
        <v>0</v>
      </c>
      <c r="J190" s="24">
        <v>496590.61</v>
      </c>
    </row>
    <row r="191" spans="1:10" x14ac:dyDescent="0.25">
      <c r="A191" s="20">
        <v>190</v>
      </c>
      <c r="B191" s="21">
        <v>45910</v>
      </c>
      <c r="C191" s="20" t="s">
        <v>224</v>
      </c>
      <c r="D191" s="20" t="s">
        <v>759</v>
      </c>
      <c r="E191" s="20"/>
      <c r="F191" s="22" t="s">
        <v>765</v>
      </c>
      <c r="G191" s="23" t="s">
        <v>277</v>
      </c>
      <c r="H191" s="57">
        <v>0.67</v>
      </c>
      <c r="I191" s="57">
        <v>0</v>
      </c>
      <c r="J191" s="24">
        <v>429590.61</v>
      </c>
    </row>
    <row r="192" spans="1:10" ht="25.5" x14ac:dyDescent="0.25">
      <c r="A192" s="20">
        <v>191</v>
      </c>
      <c r="B192" s="21">
        <v>45910</v>
      </c>
      <c r="C192" s="20" t="s">
        <v>224</v>
      </c>
      <c r="D192" s="20" t="s">
        <v>759</v>
      </c>
      <c r="E192" s="20"/>
      <c r="F192" s="22" t="s">
        <v>789</v>
      </c>
      <c r="G192" s="23" t="s">
        <v>278</v>
      </c>
      <c r="H192" s="57">
        <v>0.1165567</v>
      </c>
      <c r="I192" s="57">
        <v>0</v>
      </c>
      <c r="J192" s="24">
        <v>417934.94</v>
      </c>
    </row>
    <row r="193" spans="1:10" x14ac:dyDescent="0.25">
      <c r="A193" s="20">
        <v>192</v>
      </c>
      <c r="B193" s="21">
        <v>45910</v>
      </c>
      <c r="C193" s="20" t="s">
        <v>224</v>
      </c>
      <c r="D193" s="20" t="s">
        <v>497</v>
      </c>
      <c r="E193" s="20"/>
      <c r="F193" s="22" t="s">
        <v>796</v>
      </c>
      <c r="G193" s="23" t="s">
        <v>279</v>
      </c>
      <c r="H193" s="57">
        <v>0</v>
      </c>
      <c r="I193" s="57">
        <v>5</v>
      </c>
      <c r="J193" s="24">
        <v>917934.94</v>
      </c>
    </row>
    <row r="194" spans="1:10" x14ac:dyDescent="0.25">
      <c r="A194" s="20">
        <v>193</v>
      </c>
      <c r="B194" s="21">
        <v>45910</v>
      </c>
      <c r="C194" s="20" t="s">
        <v>224</v>
      </c>
      <c r="D194" s="20" t="s">
        <v>91</v>
      </c>
      <c r="E194" s="20"/>
      <c r="F194" s="22" t="s">
        <v>92</v>
      </c>
      <c r="G194" s="23" t="s">
        <v>280</v>
      </c>
      <c r="H194" s="57">
        <v>0</v>
      </c>
      <c r="I194" s="57">
        <v>8</v>
      </c>
      <c r="J194" s="24">
        <v>1717934.94</v>
      </c>
    </row>
    <row r="195" spans="1:10" x14ac:dyDescent="0.25">
      <c r="A195" s="20">
        <v>194</v>
      </c>
      <c r="B195" s="21">
        <v>45910</v>
      </c>
      <c r="C195" s="20" t="s">
        <v>224</v>
      </c>
      <c r="D195" s="20" t="s">
        <v>497</v>
      </c>
      <c r="E195" s="20"/>
      <c r="F195" s="22" t="s">
        <v>801</v>
      </c>
      <c r="G195" s="23" t="s">
        <v>281</v>
      </c>
      <c r="H195" s="57">
        <v>0</v>
      </c>
      <c r="I195" s="57">
        <v>5.5</v>
      </c>
      <c r="J195" s="24">
        <v>2267934.94</v>
      </c>
    </row>
    <row r="196" spans="1:10" x14ac:dyDescent="0.25">
      <c r="A196" s="20">
        <v>195</v>
      </c>
      <c r="B196" s="21">
        <v>45910</v>
      </c>
      <c r="C196" s="20" t="s">
        <v>224</v>
      </c>
      <c r="D196" s="20" t="s">
        <v>91</v>
      </c>
      <c r="E196" s="20"/>
      <c r="F196" s="22" t="s">
        <v>92</v>
      </c>
      <c r="G196" s="23" t="s">
        <v>149</v>
      </c>
      <c r="H196" s="57">
        <v>5</v>
      </c>
      <c r="I196" s="57">
        <v>0</v>
      </c>
      <c r="J196" s="24">
        <v>1767934.94</v>
      </c>
    </row>
    <row r="197" spans="1:10" x14ac:dyDescent="0.25">
      <c r="A197" s="20">
        <v>196</v>
      </c>
      <c r="B197" s="21">
        <v>45910</v>
      </c>
      <c r="C197" s="20" t="s">
        <v>224</v>
      </c>
      <c r="D197" s="20" t="s">
        <v>497</v>
      </c>
      <c r="E197" s="20"/>
      <c r="F197" s="22" t="s">
        <v>797</v>
      </c>
      <c r="G197" s="23" t="s">
        <v>282</v>
      </c>
      <c r="H197" s="57">
        <v>0</v>
      </c>
      <c r="I197" s="57">
        <v>5.86578</v>
      </c>
      <c r="J197" s="24">
        <v>2354512.94</v>
      </c>
    </row>
    <row r="198" spans="1:10" x14ac:dyDescent="0.25">
      <c r="A198" s="20">
        <v>197</v>
      </c>
      <c r="B198" s="21">
        <v>45910</v>
      </c>
      <c r="C198" s="20" t="s">
        <v>224</v>
      </c>
      <c r="D198" s="20" t="s">
        <v>140</v>
      </c>
      <c r="E198" s="20"/>
      <c r="F198" s="22" t="s">
        <v>141</v>
      </c>
      <c r="G198" s="23" t="s">
        <v>283</v>
      </c>
      <c r="H198" s="57">
        <v>1.5</v>
      </c>
      <c r="I198" s="57">
        <v>0</v>
      </c>
      <c r="J198" s="24">
        <v>2204512.94</v>
      </c>
    </row>
    <row r="199" spans="1:10" ht="25.5" x14ac:dyDescent="0.25">
      <c r="A199" s="20">
        <v>198</v>
      </c>
      <c r="B199" s="21">
        <v>45910</v>
      </c>
      <c r="C199" s="20" t="s">
        <v>224</v>
      </c>
      <c r="D199" s="20" t="s">
        <v>759</v>
      </c>
      <c r="E199" s="20"/>
      <c r="F199" s="22" t="s">
        <v>774</v>
      </c>
      <c r="G199" s="23" t="s">
        <v>284</v>
      </c>
      <c r="H199" s="57">
        <v>20</v>
      </c>
      <c r="I199" s="57">
        <v>0</v>
      </c>
      <c r="J199" s="24">
        <v>204512.94</v>
      </c>
    </row>
    <row r="200" spans="1:10" x14ac:dyDescent="0.25">
      <c r="A200" s="20">
        <v>199</v>
      </c>
      <c r="B200" s="21">
        <v>45911</v>
      </c>
      <c r="C200" s="20" t="s">
        <v>224</v>
      </c>
      <c r="D200" s="20" t="s">
        <v>497</v>
      </c>
      <c r="E200" s="20"/>
      <c r="F200" s="22" t="s">
        <v>797</v>
      </c>
      <c r="G200" s="23" t="s">
        <v>285</v>
      </c>
      <c r="H200" s="57">
        <v>0</v>
      </c>
      <c r="I200" s="57">
        <v>2.57931</v>
      </c>
      <c r="J200" s="24">
        <v>462443.94</v>
      </c>
    </row>
    <row r="201" spans="1:10" x14ac:dyDescent="0.25">
      <c r="A201" s="20">
        <v>200</v>
      </c>
      <c r="B201" s="21">
        <v>45911</v>
      </c>
      <c r="C201" s="20" t="s">
        <v>224</v>
      </c>
      <c r="D201" s="20" t="s">
        <v>497</v>
      </c>
      <c r="E201" s="20"/>
      <c r="F201" s="22" t="s">
        <v>796</v>
      </c>
      <c r="G201" s="23" t="s">
        <v>286</v>
      </c>
      <c r="H201" s="57">
        <v>0</v>
      </c>
      <c r="I201" s="57">
        <v>6</v>
      </c>
      <c r="J201" s="24">
        <v>1062443.94</v>
      </c>
    </row>
    <row r="202" spans="1:10" ht="25.5" x14ac:dyDescent="0.25">
      <c r="A202" s="20">
        <v>201</v>
      </c>
      <c r="B202" s="21">
        <v>45911</v>
      </c>
      <c r="C202" s="20" t="s">
        <v>224</v>
      </c>
      <c r="D202" s="20" t="s">
        <v>497</v>
      </c>
      <c r="E202" s="20"/>
      <c r="F202" s="22" t="s">
        <v>801</v>
      </c>
      <c r="G202" s="23" t="s">
        <v>287</v>
      </c>
      <c r="H202" s="57">
        <v>0</v>
      </c>
      <c r="I202" s="57">
        <v>3.79034</v>
      </c>
      <c r="J202" s="24">
        <v>1441477.94</v>
      </c>
    </row>
    <row r="203" spans="1:10" ht="25.5" x14ac:dyDescent="0.25">
      <c r="A203" s="20">
        <v>202</v>
      </c>
      <c r="B203" s="21">
        <v>45911</v>
      </c>
      <c r="C203" s="20" t="s">
        <v>224</v>
      </c>
      <c r="D203" s="20" t="s">
        <v>759</v>
      </c>
      <c r="E203" s="20"/>
      <c r="F203" s="22" t="s">
        <v>774</v>
      </c>
      <c r="G203" s="23" t="s">
        <v>288</v>
      </c>
      <c r="H203" s="57">
        <v>13</v>
      </c>
      <c r="I203" s="57">
        <v>0</v>
      </c>
      <c r="J203" s="24">
        <v>141477.94</v>
      </c>
    </row>
    <row r="204" spans="1:10" x14ac:dyDescent="0.25">
      <c r="A204" s="20">
        <v>203</v>
      </c>
      <c r="B204" s="21">
        <v>45912</v>
      </c>
      <c r="C204" s="20" t="s">
        <v>224</v>
      </c>
      <c r="D204" s="20" t="s">
        <v>752</v>
      </c>
      <c r="E204" s="20"/>
      <c r="F204" s="22" t="s">
        <v>753</v>
      </c>
      <c r="G204" s="23" t="s">
        <v>146</v>
      </c>
      <c r="H204" s="57">
        <v>0.42004000000000002</v>
      </c>
      <c r="I204" s="57">
        <v>0</v>
      </c>
      <c r="J204" s="24">
        <v>99473.94</v>
      </c>
    </row>
    <row r="205" spans="1:10" x14ac:dyDescent="0.25">
      <c r="A205" s="20">
        <v>204</v>
      </c>
      <c r="B205" s="21">
        <v>45912</v>
      </c>
      <c r="C205" s="20" t="s">
        <v>224</v>
      </c>
      <c r="D205" s="20" t="s">
        <v>497</v>
      </c>
      <c r="E205" s="20"/>
      <c r="F205" s="22" t="s">
        <v>796</v>
      </c>
      <c r="G205" s="23" t="s">
        <v>289</v>
      </c>
      <c r="H205" s="57">
        <v>0</v>
      </c>
      <c r="I205" s="57">
        <v>3</v>
      </c>
      <c r="J205" s="24">
        <v>399473.94</v>
      </c>
    </row>
    <row r="206" spans="1:10" x14ac:dyDescent="0.25">
      <c r="A206" s="20">
        <v>205</v>
      </c>
      <c r="B206" s="21">
        <v>45912</v>
      </c>
      <c r="C206" s="20" t="s">
        <v>224</v>
      </c>
      <c r="D206" s="20" t="s">
        <v>497</v>
      </c>
      <c r="E206" s="20"/>
      <c r="F206" s="22" t="s">
        <v>797</v>
      </c>
      <c r="G206" s="23" t="s">
        <v>290</v>
      </c>
      <c r="H206" s="57">
        <v>0</v>
      </c>
      <c r="I206" s="57">
        <v>5.4157599999999997</v>
      </c>
      <c r="J206" s="24">
        <v>941049.94</v>
      </c>
    </row>
    <row r="207" spans="1:10" x14ac:dyDescent="0.25">
      <c r="A207" s="20">
        <v>206</v>
      </c>
      <c r="B207" s="21">
        <v>45912</v>
      </c>
      <c r="C207" s="20" t="s">
        <v>224</v>
      </c>
      <c r="D207" s="20" t="s">
        <v>759</v>
      </c>
      <c r="E207" s="20"/>
      <c r="F207" s="22" t="s">
        <v>778</v>
      </c>
      <c r="G207" s="23" t="s">
        <v>291</v>
      </c>
      <c r="H207" s="57">
        <v>8.5</v>
      </c>
      <c r="I207" s="57">
        <v>0</v>
      </c>
      <c r="J207" s="24">
        <v>91049.94</v>
      </c>
    </row>
    <row r="208" spans="1:10" x14ac:dyDescent="0.25">
      <c r="A208" s="20">
        <v>207</v>
      </c>
      <c r="B208" s="21">
        <v>45912</v>
      </c>
      <c r="C208" s="20" t="s">
        <v>224</v>
      </c>
      <c r="D208" s="20" t="s">
        <v>759</v>
      </c>
      <c r="E208" s="20"/>
      <c r="F208" s="22" t="s">
        <v>785</v>
      </c>
      <c r="G208" s="23" t="s">
        <v>292</v>
      </c>
      <c r="H208" s="57">
        <v>0.1</v>
      </c>
      <c r="I208" s="57">
        <v>0</v>
      </c>
      <c r="J208" s="24">
        <v>81049.94</v>
      </c>
    </row>
    <row r="209" spans="1:10" x14ac:dyDescent="0.25">
      <c r="A209" s="20">
        <v>208</v>
      </c>
      <c r="B209" s="21">
        <v>45913</v>
      </c>
      <c r="C209" s="20" t="s">
        <v>224</v>
      </c>
      <c r="D209" s="20" t="s">
        <v>497</v>
      </c>
      <c r="E209" s="20"/>
      <c r="F209" s="22" t="s">
        <v>797</v>
      </c>
      <c r="G209" s="23" t="s">
        <v>293</v>
      </c>
      <c r="H209" s="57">
        <v>0</v>
      </c>
      <c r="I209" s="57">
        <v>2.86958</v>
      </c>
      <c r="J209" s="24">
        <v>368007.94</v>
      </c>
    </row>
    <row r="210" spans="1:10" x14ac:dyDescent="0.25">
      <c r="A210" s="20">
        <v>209</v>
      </c>
      <c r="B210" s="21">
        <v>45913</v>
      </c>
      <c r="C210" s="20" t="s">
        <v>224</v>
      </c>
      <c r="D210" s="25" t="s">
        <v>759</v>
      </c>
      <c r="E210" s="20"/>
      <c r="F210" s="22" t="s">
        <v>773</v>
      </c>
      <c r="G210" s="23" t="s">
        <v>294</v>
      </c>
      <c r="H210" s="57">
        <v>2</v>
      </c>
      <c r="I210" s="57">
        <v>0</v>
      </c>
      <c r="J210" s="24">
        <v>168007.94</v>
      </c>
    </row>
    <row r="211" spans="1:10" x14ac:dyDescent="0.25">
      <c r="A211" s="20">
        <v>210</v>
      </c>
      <c r="B211" s="21">
        <v>45915</v>
      </c>
      <c r="C211" s="20" t="s">
        <v>224</v>
      </c>
      <c r="D211" s="20" t="s">
        <v>497</v>
      </c>
      <c r="E211" s="20"/>
      <c r="F211" s="22" t="s">
        <v>796</v>
      </c>
      <c r="G211" s="23" t="s">
        <v>295</v>
      </c>
      <c r="H211" s="57">
        <v>0</v>
      </c>
      <c r="I211" s="57">
        <v>4.5</v>
      </c>
      <c r="J211" s="24">
        <v>618007.93999999994</v>
      </c>
    </row>
    <row r="212" spans="1:10" x14ac:dyDescent="0.25">
      <c r="A212" s="20">
        <v>211</v>
      </c>
      <c r="B212" s="21">
        <v>45915</v>
      </c>
      <c r="C212" s="20" t="s">
        <v>224</v>
      </c>
      <c r="D212" s="20" t="s">
        <v>91</v>
      </c>
      <c r="E212" s="20"/>
      <c r="F212" s="22" t="s">
        <v>92</v>
      </c>
      <c r="G212" s="23" t="s">
        <v>95</v>
      </c>
      <c r="H212" s="57">
        <v>0</v>
      </c>
      <c r="I212" s="57">
        <v>8</v>
      </c>
      <c r="J212" s="24">
        <v>1418007.94</v>
      </c>
    </row>
    <row r="213" spans="1:10" x14ac:dyDescent="0.25">
      <c r="A213" s="20">
        <v>212</v>
      </c>
      <c r="B213" s="21">
        <v>45915</v>
      </c>
      <c r="C213" s="20" t="s">
        <v>224</v>
      </c>
      <c r="D213" s="20" t="s">
        <v>759</v>
      </c>
      <c r="E213" s="20"/>
      <c r="F213" s="22" t="s">
        <v>764</v>
      </c>
      <c r="G213" s="23" t="s">
        <v>296</v>
      </c>
      <c r="H213" s="57">
        <v>1.5</v>
      </c>
      <c r="I213" s="57">
        <v>0</v>
      </c>
      <c r="J213" s="24">
        <v>1268007.94</v>
      </c>
    </row>
    <row r="214" spans="1:10" x14ac:dyDescent="0.25">
      <c r="A214" s="20">
        <v>213</v>
      </c>
      <c r="B214" s="21">
        <v>45915</v>
      </c>
      <c r="C214" s="20" t="s">
        <v>224</v>
      </c>
      <c r="D214" s="20" t="s">
        <v>497</v>
      </c>
      <c r="E214" s="20"/>
      <c r="F214" s="22" t="s">
        <v>789</v>
      </c>
      <c r="G214" s="23" t="s">
        <v>297</v>
      </c>
      <c r="H214" s="57">
        <v>0</v>
      </c>
      <c r="I214" s="57">
        <v>1.0000000000000001E-5</v>
      </c>
      <c r="J214" s="24">
        <v>1268008.94</v>
      </c>
    </row>
    <row r="215" spans="1:10" x14ac:dyDescent="0.25">
      <c r="A215" s="20">
        <v>214</v>
      </c>
      <c r="B215" s="21">
        <v>45915</v>
      </c>
      <c r="C215" s="20" t="s">
        <v>224</v>
      </c>
      <c r="D215" s="20" t="s">
        <v>746</v>
      </c>
      <c r="E215" s="20"/>
      <c r="F215" s="22" t="s">
        <v>298</v>
      </c>
      <c r="G215" s="23" t="s">
        <v>299</v>
      </c>
      <c r="H215" s="57">
        <v>8.8500000000000002E-3</v>
      </c>
      <c r="I215" s="57">
        <v>0</v>
      </c>
      <c r="J215" s="24">
        <v>1267123.94</v>
      </c>
    </row>
    <row r="216" spans="1:10" ht="25.5" x14ac:dyDescent="0.25">
      <c r="A216" s="20">
        <v>215</v>
      </c>
      <c r="B216" s="21">
        <v>45915</v>
      </c>
      <c r="C216" s="20" t="s">
        <v>224</v>
      </c>
      <c r="D216" s="20" t="s">
        <v>759</v>
      </c>
      <c r="E216" s="20"/>
      <c r="F216" s="22" t="s">
        <v>774</v>
      </c>
      <c r="G216" s="23" t="s">
        <v>300</v>
      </c>
      <c r="H216" s="57">
        <v>11</v>
      </c>
      <c r="I216" s="57">
        <v>0</v>
      </c>
      <c r="J216" s="24">
        <v>167123.94</v>
      </c>
    </row>
    <row r="217" spans="1:10" ht="25.5" x14ac:dyDescent="0.25">
      <c r="A217" s="20">
        <v>216</v>
      </c>
      <c r="B217" s="21">
        <v>45915</v>
      </c>
      <c r="C217" s="20" t="s">
        <v>224</v>
      </c>
      <c r="D217" s="25" t="s">
        <v>759</v>
      </c>
      <c r="E217" s="20"/>
      <c r="F217" s="22" t="s">
        <v>776</v>
      </c>
      <c r="G217" s="23" t="s">
        <v>301</v>
      </c>
      <c r="H217" s="57">
        <v>0.4</v>
      </c>
      <c r="I217" s="57">
        <v>0</v>
      </c>
      <c r="J217" s="24">
        <v>127123.94</v>
      </c>
    </row>
    <row r="218" spans="1:10" x14ac:dyDescent="0.25">
      <c r="A218" s="20">
        <v>217</v>
      </c>
      <c r="B218" s="21">
        <v>45915</v>
      </c>
      <c r="C218" s="20" t="s">
        <v>224</v>
      </c>
      <c r="D218" s="20" t="s">
        <v>759</v>
      </c>
      <c r="E218" s="20"/>
      <c r="F218" s="22" t="s">
        <v>766</v>
      </c>
      <c r="G218" s="23" t="s">
        <v>302</v>
      </c>
      <c r="H218" s="57">
        <v>0.2</v>
      </c>
      <c r="I218" s="57">
        <v>0</v>
      </c>
      <c r="J218" s="24">
        <v>107123.94</v>
      </c>
    </row>
    <row r="219" spans="1:10" ht="25.5" x14ac:dyDescent="0.25">
      <c r="A219" s="20">
        <v>218</v>
      </c>
      <c r="B219" s="21">
        <v>45915</v>
      </c>
      <c r="C219" s="20" t="s">
        <v>224</v>
      </c>
      <c r="D219" s="20" t="s">
        <v>809</v>
      </c>
      <c r="E219" s="20"/>
      <c r="F219" s="22" t="s">
        <v>804</v>
      </c>
      <c r="G219" s="23" t="s">
        <v>303</v>
      </c>
      <c r="H219" s="57">
        <v>0</v>
      </c>
      <c r="I219" s="57">
        <v>2</v>
      </c>
      <c r="J219" s="24">
        <v>307123.94</v>
      </c>
    </row>
    <row r="220" spans="1:10" ht="25.5" x14ac:dyDescent="0.25">
      <c r="A220" s="20">
        <v>219</v>
      </c>
      <c r="B220" s="21">
        <v>45916</v>
      </c>
      <c r="C220" s="20" t="s">
        <v>224</v>
      </c>
      <c r="D220" s="20" t="s">
        <v>809</v>
      </c>
      <c r="E220" s="20"/>
      <c r="F220" s="22" t="s">
        <v>804</v>
      </c>
      <c r="G220" s="23" t="s">
        <v>304</v>
      </c>
      <c r="H220" s="57">
        <v>0</v>
      </c>
      <c r="I220" s="57">
        <v>2</v>
      </c>
      <c r="J220" s="24">
        <v>507123.94</v>
      </c>
    </row>
    <row r="221" spans="1:10" x14ac:dyDescent="0.25">
      <c r="A221" s="20">
        <v>220</v>
      </c>
      <c r="B221" s="21">
        <v>45916</v>
      </c>
      <c r="C221" s="20" t="s">
        <v>224</v>
      </c>
      <c r="D221" s="20" t="s">
        <v>497</v>
      </c>
      <c r="E221" s="20"/>
      <c r="F221" s="22" t="s">
        <v>807</v>
      </c>
      <c r="G221" s="23" t="s">
        <v>305</v>
      </c>
      <c r="H221" s="57">
        <v>0</v>
      </c>
      <c r="I221" s="57">
        <v>9.8800000000000008</v>
      </c>
      <c r="J221" s="24">
        <v>1495123.94</v>
      </c>
    </row>
    <row r="222" spans="1:10" x14ac:dyDescent="0.25">
      <c r="A222" s="20">
        <v>221</v>
      </c>
      <c r="B222" s="21">
        <v>45916</v>
      </c>
      <c r="C222" s="20" t="s">
        <v>224</v>
      </c>
      <c r="D222" s="20" t="s">
        <v>497</v>
      </c>
      <c r="E222" s="20"/>
      <c r="F222" s="22" t="s">
        <v>793</v>
      </c>
      <c r="G222" s="23" t="s">
        <v>306</v>
      </c>
      <c r="H222" s="57">
        <v>0</v>
      </c>
      <c r="I222" s="57">
        <v>8.1</v>
      </c>
      <c r="J222" s="24">
        <v>2305123.94</v>
      </c>
    </row>
    <row r="223" spans="1:10" x14ac:dyDescent="0.25">
      <c r="A223" s="20">
        <v>222</v>
      </c>
      <c r="B223" s="21">
        <v>45916</v>
      </c>
      <c r="C223" s="20" t="s">
        <v>224</v>
      </c>
      <c r="D223" s="20" t="s">
        <v>497</v>
      </c>
      <c r="E223" s="20"/>
      <c r="F223" s="22" t="s">
        <v>797</v>
      </c>
      <c r="G223" s="23" t="s">
        <v>307</v>
      </c>
      <c r="H223" s="57">
        <v>0</v>
      </c>
      <c r="I223" s="57">
        <v>8.26586</v>
      </c>
      <c r="J223" s="24">
        <v>3131709.94</v>
      </c>
    </row>
    <row r="224" spans="1:10" x14ac:dyDescent="0.25">
      <c r="A224" s="20">
        <v>223</v>
      </c>
      <c r="B224" s="21">
        <v>45916</v>
      </c>
      <c r="C224" s="20" t="s">
        <v>224</v>
      </c>
      <c r="D224" s="20" t="s">
        <v>497</v>
      </c>
      <c r="E224" s="20"/>
      <c r="F224" s="22" t="s">
        <v>812</v>
      </c>
      <c r="G224" s="23" t="s">
        <v>308</v>
      </c>
      <c r="H224" s="57">
        <v>0</v>
      </c>
      <c r="I224" s="57">
        <v>9.1199999999999992</v>
      </c>
      <c r="J224" s="24">
        <v>4043709.94</v>
      </c>
    </row>
    <row r="225" spans="1:10" x14ac:dyDescent="0.25">
      <c r="A225" s="20">
        <v>224</v>
      </c>
      <c r="B225" s="21">
        <v>45916</v>
      </c>
      <c r="C225" s="20" t="s">
        <v>224</v>
      </c>
      <c r="D225" s="20" t="s">
        <v>497</v>
      </c>
      <c r="E225" s="20"/>
      <c r="F225" s="22" t="s">
        <v>796</v>
      </c>
      <c r="G225" s="23" t="s">
        <v>309</v>
      </c>
      <c r="H225" s="57">
        <v>0</v>
      </c>
      <c r="I225" s="57">
        <v>5.5</v>
      </c>
      <c r="J225" s="24">
        <v>4593709.9400000004</v>
      </c>
    </row>
    <row r="226" spans="1:10" x14ac:dyDescent="0.25">
      <c r="A226" s="20">
        <v>225</v>
      </c>
      <c r="B226" s="21">
        <v>45916</v>
      </c>
      <c r="C226" s="20" t="s">
        <v>224</v>
      </c>
      <c r="D226" s="20" t="s">
        <v>759</v>
      </c>
      <c r="E226" s="20"/>
      <c r="F226" s="22" t="s">
        <v>778</v>
      </c>
      <c r="G226" s="23" t="s">
        <v>310</v>
      </c>
      <c r="H226" s="57">
        <v>10</v>
      </c>
      <c r="I226" s="57">
        <v>0</v>
      </c>
      <c r="J226" s="24">
        <v>3593709.94</v>
      </c>
    </row>
    <row r="227" spans="1:10" x14ac:dyDescent="0.25">
      <c r="A227" s="20">
        <v>226</v>
      </c>
      <c r="B227" s="21">
        <v>45916</v>
      </c>
      <c r="C227" s="20" t="s">
        <v>224</v>
      </c>
      <c r="D227" s="20" t="s">
        <v>91</v>
      </c>
      <c r="E227" s="20"/>
      <c r="F227" s="22" t="s">
        <v>92</v>
      </c>
      <c r="G227" s="23" t="s">
        <v>311</v>
      </c>
      <c r="H227" s="57">
        <v>25</v>
      </c>
      <c r="I227" s="57">
        <v>0</v>
      </c>
      <c r="J227" s="24">
        <v>1093709.94</v>
      </c>
    </row>
    <row r="228" spans="1:10" ht="25.5" x14ac:dyDescent="0.25">
      <c r="A228" s="20">
        <v>227</v>
      </c>
      <c r="B228" s="21">
        <v>45916</v>
      </c>
      <c r="C228" s="20" t="s">
        <v>224</v>
      </c>
      <c r="D228" s="20" t="s">
        <v>759</v>
      </c>
      <c r="E228" s="20"/>
      <c r="F228" s="22" t="s">
        <v>781</v>
      </c>
      <c r="G228" s="23" t="s">
        <v>312</v>
      </c>
      <c r="H228" s="57">
        <v>0.1</v>
      </c>
      <c r="I228" s="57">
        <v>0</v>
      </c>
      <c r="J228" s="24">
        <v>1083709.94</v>
      </c>
    </row>
    <row r="229" spans="1:10" x14ac:dyDescent="0.25">
      <c r="A229" s="20">
        <v>228</v>
      </c>
      <c r="B229" s="21">
        <v>45916</v>
      </c>
      <c r="C229" s="20" t="s">
        <v>224</v>
      </c>
      <c r="D229" s="20" t="s">
        <v>787</v>
      </c>
      <c r="E229" s="20">
        <v>1544130</v>
      </c>
      <c r="F229" s="22" t="s">
        <v>786</v>
      </c>
      <c r="G229" s="23" t="s">
        <v>313</v>
      </c>
      <c r="H229" s="57">
        <v>0.2</v>
      </c>
      <c r="I229" s="57">
        <v>0</v>
      </c>
      <c r="J229" s="24">
        <v>1063709.94</v>
      </c>
    </row>
    <row r="230" spans="1:10" ht="25.5" x14ac:dyDescent="0.25">
      <c r="A230" s="20">
        <v>229</v>
      </c>
      <c r="B230" s="21">
        <v>45916</v>
      </c>
      <c r="C230" s="20" t="s">
        <v>224</v>
      </c>
      <c r="D230" s="20" t="s">
        <v>759</v>
      </c>
      <c r="E230" s="20"/>
      <c r="F230" s="22" t="s">
        <v>774</v>
      </c>
      <c r="G230" s="23" t="s">
        <v>314</v>
      </c>
      <c r="H230" s="57">
        <v>5</v>
      </c>
      <c r="I230" s="57">
        <v>0</v>
      </c>
      <c r="J230" s="24">
        <v>563709.93999999994</v>
      </c>
    </row>
    <row r="231" spans="1:10" ht="25.5" x14ac:dyDescent="0.25">
      <c r="A231" s="20">
        <v>230</v>
      </c>
      <c r="B231" s="21">
        <v>45916</v>
      </c>
      <c r="C231" s="20" t="s">
        <v>224</v>
      </c>
      <c r="D231" s="20" t="s">
        <v>759</v>
      </c>
      <c r="E231" s="20"/>
      <c r="F231" s="22" t="s">
        <v>789</v>
      </c>
      <c r="G231" s="23" t="s">
        <v>315</v>
      </c>
      <c r="H231" s="57">
        <v>0.35299999999999998</v>
      </c>
      <c r="I231" s="57">
        <v>0</v>
      </c>
      <c r="J231" s="24">
        <v>528409.93999999994</v>
      </c>
    </row>
    <row r="232" spans="1:10" x14ac:dyDescent="0.25">
      <c r="A232" s="20">
        <v>231</v>
      </c>
      <c r="B232" s="21">
        <v>45916</v>
      </c>
      <c r="C232" s="20" t="s">
        <v>224</v>
      </c>
      <c r="D232" s="20" t="s">
        <v>91</v>
      </c>
      <c r="E232" s="20"/>
      <c r="F232" s="22" t="s">
        <v>92</v>
      </c>
      <c r="G232" s="23" t="s">
        <v>316</v>
      </c>
      <c r="H232" s="57">
        <v>1</v>
      </c>
      <c r="I232" s="57">
        <v>0</v>
      </c>
      <c r="J232" s="24">
        <v>428409.94</v>
      </c>
    </row>
    <row r="233" spans="1:10" x14ac:dyDescent="0.25">
      <c r="A233" s="20">
        <v>232</v>
      </c>
      <c r="B233" s="21">
        <v>45916</v>
      </c>
      <c r="C233" s="20" t="s">
        <v>224</v>
      </c>
      <c r="D233" s="20" t="s">
        <v>497</v>
      </c>
      <c r="E233" s="20"/>
      <c r="F233" s="22" t="s">
        <v>801</v>
      </c>
      <c r="G233" s="23" t="s">
        <v>317</v>
      </c>
      <c r="H233" s="57">
        <v>0</v>
      </c>
      <c r="I233" s="57">
        <v>4.7466799999999996</v>
      </c>
      <c r="J233" s="24">
        <v>903077.94</v>
      </c>
    </row>
    <row r="234" spans="1:10" ht="25.5" x14ac:dyDescent="0.25">
      <c r="A234" s="20">
        <v>233</v>
      </c>
      <c r="B234" s="21">
        <v>45917</v>
      </c>
      <c r="C234" s="20" t="s">
        <v>224</v>
      </c>
      <c r="D234" s="20" t="s">
        <v>809</v>
      </c>
      <c r="E234" s="20"/>
      <c r="F234" s="22" t="s">
        <v>804</v>
      </c>
      <c r="G234" s="23" t="s">
        <v>318</v>
      </c>
      <c r="H234" s="57">
        <v>0</v>
      </c>
      <c r="I234" s="57">
        <v>2</v>
      </c>
      <c r="J234" s="24">
        <v>1103077.94</v>
      </c>
    </row>
    <row r="235" spans="1:10" x14ac:dyDescent="0.25">
      <c r="A235" s="20">
        <v>234</v>
      </c>
      <c r="B235" s="21">
        <v>45917</v>
      </c>
      <c r="C235" s="20" t="s">
        <v>224</v>
      </c>
      <c r="D235" s="20" t="s">
        <v>497</v>
      </c>
      <c r="E235" s="20"/>
      <c r="F235" s="22" t="s">
        <v>807</v>
      </c>
      <c r="G235" s="23" t="s">
        <v>319</v>
      </c>
      <c r="H235" s="57">
        <v>0</v>
      </c>
      <c r="I235" s="57">
        <v>7.4</v>
      </c>
      <c r="J235" s="24">
        <v>1843077.94</v>
      </c>
    </row>
    <row r="236" spans="1:10" x14ac:dyDescent="0.25">
      <c r="A236" s="20">
        <v>235</v>
      </c>
      <c r="B236" s="21">
        <v>45917</v>
      </c>
      <c r="C236" s="20" t="s">
        <v>224</v>
      </c>
      <c r="D236" s="20" t="s">
        <v>91</v>
      </c>
      <c r="E236" s="20"/>
      <c r="F236" s="22" t="s">
        <v>92</v>
      </c>
      <c r="G236" s="23" t="s">
        <v>95</v>
      </c>
      <c r="H236" s="57">
        <v>0</v>
      </c>
      <c r="I236" s="57">
        <v>6.5</v>
      </c>
      <c r="J236" s="24">
        <v>2493077.94</v>
      </c>
    </row>
    <row r="237" spans="1:10" x14ac:dyDescent="0.25">
      <c r="A237" s="20">
        <v>236</v>
      </c>
      <c r="B237" s="21">
        <v>45917</v>
      </c>
      <c r="C237" s="20" t="s">
        <v>224</v>
      </c>
      <c r="D237" s="20" t="s">
        <v>497</v>
      </c>
      <c r="E237" s="20"/>
      <c r="F237" s="22" t="s">
        <v>798</v>
      </c>
      <c r="G237" s="23" t="s">
        <v>320</v>
      </c>
      <c r="H237" s="57">
        <v>0</v>
      </c>
      <c r="I237" s="57">
        <v>7.18</v>
      </c>
      <c r="J237" s="24">
        <v>3211077.94</v>
      </c>
    </row>
    <row r="238" spans="1:10" x14ac:dyDescent="0.25">
      <c r="A238" s="20">
        <v>237</v>
      </c>
      <c r="B238" s="21">
        <v>45917</v>
      </c>
      <c r="C238" s="20" t="s">
        <v>224</v>
      </c>
      <c r="D238" s="20" t="s">
        <v>497</v>
      </c>
      <c r="E238" s="20"/>
      <c r="F238" s="22" t="s">
        <v>796</v>
      </c>
      <c r="G238" s="23" t="s">
        <v>321</v>
      </c>
      <c r="H238" s="57">
        <v>0</v>
      </c>
      <c r="I238" s="57">
        <v>2.5</v>
      </c>
      <c r="J238" s="24">
        <v>3461077.94</v>
      </c>
    </row>
    <row r="239" spans="1:10" x14ac:dyDescent="0.25">
      <c r="A239" s="20">
        <v>238</v>
      </c>
      <c r="B239" s="21">
        <v>45917</v>
      </c>
      <c r="C239" s="20" t="s">
        <v>224</v>
      </c>
      <c r="D239" s="20" t="s">
        <v>497</v>
      </c>
      <c r="E239" s="20"/>
      <c r="F239" s="22" t="s">
        <v>812</v>
      </c>
      <c r="G239" s="23" t="s">
        <v>322</v>
      </c>
      <c r="H239" s="57">
        <v>0</v>
      </c>
      <c r="I239" s="57">
        <v>5.7</v>
      </c>
      <c r="J239" s="24">
        <v>4031077.94</v>
      </c>
    </row>
    <row r="240" spans="1:10" x14ac:dyDescent="0.25">
      <c r="A240" s="20">
        <v>239</v>
      </c>
      <c r="B240" s="21">
        <v>45917</v>
      </c>
      <c r="C240" s="20" t="s">
        <v>224</v>
      </c>
      <c r="D240" s="20" t="s">
        <v>497</v>
      </c>
      <c r="E240" s="20"/>
      <c r="F240" s="22" t="s">
        <v>793</v>
      </c>
      <c r="G240" s="23" t="s">
        <v>323</v>
      </c>
      <c r="H240" s="57">
        <v>0</v>
      </c>
      <c r="I240" s="57">
        <v>5.4</v>
      </c>
      <c r="J240" s="24">
        <v>4571077.9400000004</v>
      </c>
    </row>
    <row r="241" spans="1:10" x14ac:dyDescent="0.25">
      <c r="A241" s="20">
        <v>240</v>
      </c>
      <c r="B241" s="21">
        <v>45917</v>
      </c>
      <c r="C241" s="20" t="s">
        <v>224</v>
      </c>
      <c r="D241" s="20" t="s">
        <v>497</v>
      </c>
      <c r="E241" s="20"/>
      <c r="F241" s="22" t="s">
        <v>797</v>
      </c>
      <c r="G241" s="23" t="s">
        <v>324</v>
      </c>
      <c r="H241" s="57">
        <v>0</v>
      </c>
      <c r="I241" s="57">
        <v>8.4412000000000003</v>
      </c>
      <c r="J241" s="24">
        <v>5415197.9400000004</v>
      </c>
    </row>
    <row r="242" spans="1:10" x14ac:dyDescent="0.25">
      <c r="A242" s="20">
        <v>241</v>
      </c>
      <c r="B242" s="21">
        <v>45917</v>
      </c>
      <c r="C242" s="20" t="s">
        <v>224</v>
      </c>
      <c r="D242" s="20" t="s">
        <v>759</v>
      </c>
      <c r="E242" s="20"/>
      <c r="F242" s="22" t="s">
        <v>778</v>
      </c>
      <c r="G242" s="23" t="s">
        <v>325</v>
      </c>
      <c r="H242" s="57">
        <v>10</v>
      </c>
      <c r="I242" s="57">
        <v>0</v>
      </c>
      <c r="J242" s="24">
        <v>4415197.9400000004</v>
      </c>
    </row>
    <row r="243" spans="1:10" ht="25.5" x14ac:dyDescent="0.25">
      <c r="A243" s="20">
        <v>242</v>
      </c>
      <c r="B243" s="21">
        <v>45917</v>
      </c>
      <c r="C243" s="20" t="s">
        <v>224</v>
      </c>
      <c r="D243" s="20" t="s">
        <v>759</v>
      </c>
      <c r="E243" s="20"/>
      <c r="F243" s="22" t="s">
        <v>774</v>
      </c>
      <c r="G243" s="23" t="s">
        <v>326</v>
      </c>
      <c r="H243" s="57">
        <v>15</v>
      </c>
      <c r="I243" s="57">
        <v>0</v>
      </c>
      <c r="J243" s="24">
        <v>2915197.94</v>
      </c>
    </row>
    <row r="244" spans="1:10" x14ac:dyDescent="0.25">
      <c r="A244" s="20">
        <v>243</v>
      </c>
      <c r="B244" s="21">
        <v>45917</v>
      </c>
      <c r="C244" s="20" t="s">
        <v>224</v>
      </c>
      <c r="D244" s="20" t="s">
        <v>497</v>
      </c>
      <c r="E244" s="20"/>
      <c r="F244" s="22" t="s">
        <v>792</v>
      </c>
      <c r="G244" s="23" t="s">
        <v>327</v>
      </c>
      <c r="H244" s="57">
        <v>0</v>
      </c>
      <c r="I244" s="57">
        <v>8.52</v>
      </c>
      <c r="J244" s="24">
        <v>3767197.94</v>
      </c>
    </row>
    <row r="245" spans="1:10" x14ac:dyDescent="0.25">
      <c r="A245" s="20">
        <v>244</v>
      </c>
      <c r="B245" s="21">
        <v>45917</v>
      </c>
      <c r="C245" s="20" t="s">
        <v>224</v>
      </c>
      <c r="D245" s="20" t="s">
        <v>809</v>
      </c>
      <c r="E245" s="20"/>
      <c r="F245" s="22" t="s">
        <v>794</v>
      </c>
      <c r="G245" s="23" t="s">
        <v>328</v>
      </c>
      <c r="H245" s="57">
        <v>0</v>
      </c>
      <c r="I245" s="57">
        <v>7.8</v>
      </c>
      <c r="J245" s="24">
        <v>4547197.9400000004</v>
      </c>
    </row>
    <row r="246" spans="1:10" ht="25.5" x14ac:dyDescent="0.25">
      <c r="A246" s="20">
        <v>245</v>
      </c>
      <c r="B246" s="21">
        <v>45918</v>
      </c>
      <c r="C246" s="20" t="s">
        <v>224</v>
      </c>
      <c r="D246" s="20" t="s">
        <v>497</v>
      </c>
      <c r="E246" s="20"/>
      <c r="F246" s="22" t="s">
        <v>801</v>
      </c>
      <c r="G246" s="23" t="s">
        <v>329</v>
      </c>
      <c r="H246" s="57">
        <v>0</v>
      </c>
      <c r="I246" s="57">
        <v>2</v>
      </c>
      <c r="J246" s="24">
        <v>4747197.9400000004</v>
      </c>
    </row>
    <row r="247" spans="1:10" ht="25.5" x14ac:dyDescent="0.25">
      <c r="A247" s="20">
        <v>246</v>
      </c>
      <c r="B247" s="21">
        <v>45918</v>
      </c>
      <c r="C247" s="20" t="s">
        <v>224</v>
      </c>
      <c r="D247" s="20" t="s">
        <v>759</v>
      </c>
      <c r="E247" s="20"/>
      <c r="F247" s="22" t="s">
        <v>774</v>
      </c>
      <c r="G247" s="23" t="s">
        <v>330</v>
      </c>
      <c r="H247" s="57">
        <v>25</v>
      </c>
      <c r="I247" s="57">
        <v>0</v>
      </c>
      <c r="J247" s="24">
        <v>2247197.94</v>
      </c>
    </row>
    <row r="248" spans="1:10" x14ac:dyDescent="0.25">
      <c r="A248" s="20">
        <v>247</v>
      </c>
      <c r="B248" s="21">
        <v>45918</v>
      </c>
      <c r="C248" s="20" t="s">
        <v>224</v>
      </c>
      <c r="D248" s="20" t="s">
        <v>497</v>
      </c>
      <c r="E248" s="20"/>
      <c r="F248" s="22" t="s">
        <v>797</v>
      </c>
      <c r="G248" s="23" t="s">
        <v>331</v>
      </c>
      <c r="H248" s="57">
        <v>0</v>
      </c>
      <c r="I248" s="57">
        <v>2.8559399999999999</v>
      </c>
      <c r="J248" s="24">
        <v>2532791.94</v>
      </c>
    </row>
    <row r="249" spans="1:10" x14ac:dyDescent="0.25">
      <c r="A249" s="20">
        <v>248</v>
      </c>
      <c r="B249" s="21">
        <v>45918</v>
      </c>
      <c r="C249" s="20" t="s">
        <v>224</v>
      </c>
      <c r="D249" s="20" t="s">
        <v>497</v>
      </c>
      <c r="E249" s="20"/>
      <c r="F249" s="22" t="s">
        <v>796</v>
      </c>
      <c r="G249" s="23" t="s">
        <v>332</v>
      </c>
      <c r="H249" s="57">
        <v>0</v>
      </c>
      <c r="I249" s="57">
        <v>2.8</v>
      </c>
      <c r="J249" s="24">
        <v>2812791.94</v>
      </c>
    </row>
    <row r="250" spans="1:10" ht="25.5" x14ac:dyDescent="0.25">
      <c r="A250" s="20">
        <v>249</v>
      </c>
      <c r="B250" s="21">
        <v>45919</v>
      </c>
      <c r="C250" s="20" t="s">
        <v>224</v>
      </c>
      <c r="D250" s="20" t="s">
        <v>497</v>
      </c>
      <c r="E250" s="20"/>
      <c r="F250" s="22" t="s">
        <v>801</v>
      </c>
      <c r="G250" s="23" t="s">
        <v>333</v>
      </c>
      <c r="H250" s="57">
        <v>0</v>
      </c>
      <c r="I250" s="57">
        <v>3</v>
      </c>
      <c r="J250" s="24">
        <v>3112791.94</v>
      </c>
    </row>
    <row r="251" spans="1:10" x14ac:dyDescent="0.25">
      <c r="A251" s="20">
        <v>250</v>
      </c>
      <c r="B251" s="21">
        <v>45919</v>
      </c>
      <c r="C251" s="20" t="s">
        <v>224</v>
      </c>
      <c r="D251" s="20" t="s">
        <v>759</v>
      </c>
      <c r="E251" s="20"/>
      <c r="F251" s="22" t="s">
        <v>778</v>
      </c>
      <c r="G251" s="23" t="s">
        <v>334</v>
      </c>
      <c r="H251" s="57">
        <v>15</v>
      </c>
      <c r="I251" s="57">
        <v>0</v>
      </c>
      <c r="J251" s="24">
        <v>1612791.94</v>
      </c>
    </row>
    <row r="252" spans="1:10" x14ac:dyDescent="0.25">
      <c r="A252" s="20">
        <v>251</v>
      </c>
      <c r="B252" s="21">
        <v>45919</v>
      </c>
      <c r="C252" s="20" t="s">
        <v>224</v>
      </c>
      <c r="D252" s="20" t="s">
        <v>759</v>
      </c>
      <c r="E252" s="20"/>
      <c r="F252" s="22" t="s">
        <v>765</v>
      </c>
      <c r="G252" s="23" t="s">
        <v>335</v>
      </c>
      <c r="H252" s="57">
        <v>0.1</v>
      </c>
      <c r="I252" s="57">
        <v>0</v>
      </c>
      <c r="J252" s="24">
        <v>1602791.94</v>
      </c>
    </row>
    <row r="253" spans="1:10" x14ac:dyDescent="0.25">
      <c r="A253" s="20">
        <v>252</v>
      </c>
      <c r="B253" s="21">
        <v>45919</v>
      </c>
      <c r="C253" s="20" t="s">
        <v>224</v>
      </c>
      <c r="D253" s="20" t="s">
        <v>91</v>
      </c>
      <c r="E253" s="20"/>
      <c r="F253" s="22" t="s">
        <v>92</v>
      </c>
      <c r="G253" s="23" t="s">
        <v>336</v>
      </c>
      <c r="H253" s="57">
        <v>1</v>
      </c>
      <c r="I253" s="57">
        <v>0</v>
      </c>
      <c r="J253" s="24">
        <v>1502791.94</v>
      </c>
    </row>
    <row r="254" spans="1:10" x14ac:dyDescent="0.25">
      <c r="A254" s="20">
        <v>253</v>
      </c>
      <c r="B254" s="21">
        <v>45919</v>
      </c>
      <c r="C254" s="20" t="s">
        <v>224</v>
      </c>
      <c r="D254" s="20" t="s">
        <v>497</v>
      </c>
      <c r="E254" s="20"/>
      <c r="F254" s="22" t="s">
        <v>797</v>
      </c>
      <c r="G254" s="23" t="s">
        <v>337</v>
      </c>
      <c r="H254" s="57">
        <v>0</v>
      </c>
      <c r="I254" s="57">
        <v>3.3371200000000001</v>
      </c>
      <c r="J254" s="24">
        <v>1836503.94</v>
      </c>
    </row>
    <row r="255" spans="1:10" x14ac:dyDescent="0.25">
      <c r="A255" s="20">
        <v>254</v>
      </c>
      <c r="B255" s="21">
        <v>45919</v>
      </c>
      <c r="C255" s="20" t="s">
        <v>224</v>
      </c>
      <c r="D255" s="20" t="s">
        <v>497</v>
      </c>
      <c r="E255" s="20"/>
      <c r="F255" s="22" t="s">
        <v>796</v>
      </c>
      <c r="G255" s="23" t="s">
        <v>338</v>
      </c>
      <c r="H255" s="57">
        <v>0</v>
      </c>
      <c r="I255" s="57">
        <v>0.37297000000000002</v>
      </c>
      <c r="J255" s="24">
        <v>1873800.94</v>
      </c>
    </row>
    <row r="256" spans="1:10" x14ac:dyDescent="0.25">
      <c r="A256" s="20">
        <v>255</v>
      </c>
      <c r="B256" s="21">
        <v>45919</v>
      </c>
      <c r="C256" s="20" t="s">
        <v>224</v>
      </c>
      <c r="D256" s="20" t="s">
        <v>91</v>
      </c>
      <c r="E256" s="20"/>
      <c r="F256" s="22" t="s">
        <v>92</v>
      </c>
      <c r="G256" s="23" t="s">
        <v>339</v>
      </c>
      <c r="H256" s="57">
        <v>0.5</v>
      </c>
      <c r="I256" s="57">
        <v>0</v>
      </c>
      <c r="J256" s="24">
        <v>1823800.94</v>
      </c>
    </row>
    <row r="257" spans="1:10" x14ac:dyDescent="0.25">
      <c r="A257" s="20">
        <v>256</v>
      </c>
      <c r="B257" s="21">
        <v>45920</v>
      </c>
      <c r="C257" s="20" t="s">
        <v>224</v>
      </c>
      <c r="D257" s="20" t="s">
        <v>497</v>
      </c>
      <c r="E257" s="20"/>
      <c r="F257" s="22" t="s">
        <v>796</v>
      </c>
      <c r="G257" s="23" t="s">
        <v>340</v>
      </c>
      <c r="H257" s="57">
        <v>0</v>
      </c>
      <c r="I257" s="57">
        <v>4</v>
      </c>
      <c r="J257" s="24">
        <v>2223800.94</v>
      </c>
    </row>
    <row r="258" spans="1:10" x14ac:dyDescent="0.25">
      <c r="A258" s="20">
        <v>257</v>
      </c>
      <c r="B258" s="21">
        <v>45920</v>
      </c>
      <c r="C258" s="20" t="s">
        <v>224</v>
      </c>
      <c r="D258" s="20" t="s">
        <v>497</v>
      </c>
      <c r="E258" s="20"/>
      <c r="F258" s="22" t="s">
        <v>797</v>
      </c>
      <c r="G258" s="23" t="s">
        <v>341</v>
      </c>
      <c r="H258" s="57">
        <v>0</v>
      </c>
      <c r="I258" s="57">
        <v>5.3826499999999999</v>
      </c>
      <c r="J258" s="24">
        <v>2762065.94</v>
      </c>
    </row>
    <row r="259" spans="1:10" x14ac:dyDescent="0.25">
      <c r="A259" s="20">
        <v>258</v>
      </c>
      <c r="B259" s="21">
        <v>45920</v>
      </c>
      <c r="C259" s="20" t="s">
        <v>224</v>
      </c>
      <c r="D259" s="20" t="s">
        <v>91</v>
      </c>
      <c r="E259" s="20"/>
      <c r="F259" s="22" t="s">
        <v>92</v>
      </c>
      <c r="G259" s="23" t="s">
        <v>342</v>
      </c>
      <c r="H259" s="57">
        <v>2</v>
      </c>
      <c r="I259" s="57">
        <v>0</v>
      </c>
      <c r="J259" s="24">
        <v>2562065.94</v>
      </c>
    </row>
    <row r="260" spans="1:10" ht="25.5" x14ac:dyDescent="0.25">
      <c r="A260" s="20">
        <v>259</v>
      </c>
      <c r="B260" s="21">
        <v>45920</v>
      </c>
      <c r="C260" s="20" t="s">
        <v>224</v>
      </c>
      <c r="D260" s="20" t="s">
        <v>759</v>
      </c>
      <c r="E260" s="20"/>
      <c r="F260" s="22" t="s">
        <v>779</v>
      </c>
      <c r="G260" s="23" t="s">
        <v>343</v>
      </c>
      <c r="H260" s="57">
        <v>1</v>
      </c>
      <c r="I260" s="57">
        <v>0</v>
      </c>
      <c r="J260" s="24">
        <v>2462065.94</v>
      </c>
    </row>
    <row r="261" spans="1:10" ht="25.5" x14ac:dyDescent="0.25">
      <c r="A261" s="20">
        <v>260</v>
      </c>
      <c r="B261" s="21">
        <v>45921</v>
      </c>
      <c r="C261" s="20" t="s">
        <v>224</v>
      </c>
      <c r="D261" s="20" t="s">
        <v>809</v>
      </c>
      <c r="E261" s="20"/>
      <c r="F261" s="22" t="s">
        <v>804</v>
      </c>
      <c r="G261" s="23" t="s">
        <v>344</v>
      </c>
      <c r="H261" s="57">
        <v>0</v>
      </c>
      <c r="I261" s="57">
        <v>0.9</v>
      </c>
      <c r="J261" s="24">
        <v>2552065.94</v>
      </c>
    </row>
    <row r="262" spans="1:10" x14ac:dyDescent="0.25">
      <c r="A262" s="20">
        <v>261</v>
      </c>
      <c r="B262" s="21">
        <v>45922</v>
      </c>
      <c r="C262" s="20" t="s">
        <v>224</v>
      </c>
      <c r="D262" s="20" t="s">
        <v>759</v>
      </c>
      <c r="E262" s="20"/>
      <c r="F262" s="22" t="s">
        <v>778</v>
      </c>
      <c r="G262" s="23" t="s">
        <v>345</v>
      </c>
      <c r="H262" s="57">
        <v>15</v>
      </c>
      <c r="I262" s="57">
        <v>0</v>
      </c>
      <c r="J262" s="24">
        <v>1052065.94</v>
      </c>
    </row>
    <row r="263" spans="1:10" x14ac:dyDescent="0.25">
      <c r="A263" s="20">
        <v>262</v>
      </c>
      <c r="B263" s="21">
        <v>45922</v>
      </c>
      <c r="C263" s="20" t="s">
        <v>224</v>
      </c>
      <c r="D263" s="20" t="s">
        <v>497</v>
      </c>
      <c r="E263" s="20"/>
      <c r="F263" s="22" t="s">
        <v>796</v>
      </c>
      <c r="G263" s="23" t="s">
        <v>346</v>
      </c>
      <c r="H263" s="57">
        <v>0</v>
      </c>
      <c r="I263" s="57">
        <v>0.91047</v>
      </c>
      <c r="J263" s="24">
        <v>1143112.94</v>
      </c>
    </row>
    <row r="264" spans="1:10" x14ac:dyDescent="0.25">
      <c r="A264" s="20">
        <v>263</v>
      </c>
      <c r="B264" s="21">
        <v>45922</v>
      </c>
      <c r="C264" s="20" t="s">
        <v>224</v>
      </c>
      <c r="D264" s="20" t="s">
        <v>91</v>
      </c>
      <c r="E264" s="20"/>
      <c r="F264" s="22" t="s">
        <v>92</v>
      </c>
      <c r="G264" s="23" t="s">
        <v>347</v>
      </c>
      <c r="H264" s="57">
        <v>1</v>
      </c>
      <c r="I264" s="57">
        <v>0</v>
      </c>
      <c r="J264" s="24">
        <v>1043112.94</v>
      </c>
    </row>
    <row r="265" spans="1:10" ht="25.5" x14ac:dyDescent="0.25">
      <c r="A265" s="20">
        <v>264</v>
      </c>
      <c r="B265" s="21">
        <v>45922</v>
      </c>
      <c r="C265" s="20" t="s">
        <v>224</v>
      </c>
      <c r="D265" s="20" t="s">
        <v>497</v>
      </c>
      <c r="E265" s="20"/>
      <c r="F265" s="22" t="s">
        <v>801</v>
      </c>
      <c r="G265" s="23" t="s">
        <v>348</v>
      </c>
      <c r="H265" s="57">
        <v>0</v>
      </c>
      <c r="I265" s="57">
        <v>3</v>
      </c>
      <c r="J265" s="24">
        <v>1343112.94</v>
      </c>
    </row>
    <row r="266" spans="1:10" x14ac:dyDescent="0.25">
      <c r="A266" s="20">
        <v>265</v>
      </c>
      <c r="B266" s="21">
        <v>45923</v>
      </c>
      <c r="C266" s="20" t="s">
        <v>224</v>
      </c>
      <c r="D266" s="20" t="s">
        <v>752</v>
      </c>
      <c r="E266" s="20"/>
      <c r="F266" s="22" t="s">
        <v>754</v>
      </c>
      <c r="G266" s="23" t="s">
        <v>188</v>
      </c>
      <c r="H266" s="57">
        <v>0.12615999999999999</v>
      </c>
      <c r="I266" s="57">
        <v>0</v>
      </c>
      <c r="J266" s="24">
        <v>1330496.94</v>
      </c>
    </row>
    <row r="267" spans="1:10" x14ac:dyDescent="0.25">
      <c r="A267" s="20">
        <v>266</v>
      </c>
      <c r="B267" s="21">
        <v>45923</v>
      </c>
      <c r="C267" s="20" t="s">
        <v>224</v>
      </c>
      <c r="D267" s="20" t="s">
        <v>759</v>
      </c>
      <c r="E267" s="20"/>
      <c r="F267" s="22" t="s">
        <v>765</v>
      </c>
      <c r="G267" s="23" t="s">
        <v>349</v>
      </c>
      <c r="H267" s="57">
        <v>0.28999999999999998</v>
      </c>
      <c r="I267" s="57">
        <v>0</v>
      </c>
      <c r="J267" s="24">
        <v>1301496.94</v>
      </c>
    </row>
    <row r="268" spans="1:10" ht="25.5" x14ac:dyDescent="0.25">
      <c r="A268" s="20">
        <v>267</v>
      </c>
      <c r="B268" s="21">
        <v>45923</v>
      </c>
      <c r="C268" s="20" t="s">
        <v>224</v>
      </c>
      <c r="D268" s="20" t="s">
        <v>759</v>
      </c>
      <c r="E268" s="20"/>
      <c r="F268" s="22" t="s">
        <v>774</v>
      </c>
      <c r="G268" s="23" t="s">
        <v>350</v>
      </c>
      <c r="H268" s="57">
        <v>12</v>
      </c>
      <c r="I268" s="57">
        <v>0</v>
      </c>
      <c r="J268" s="24">
        <v>101496.94</v>
      </c>
    </row>
    <row r="269" spans="1:10" x14ac:dyDescent="0.25">
      <c r="A269" s="20">
        <v>268</v>
      </c>
      <c r="B269" s="21">
        <v>45923</v>
      </c>
      <c r="C269" s="20" t="s">
        <v>224</v>
      </c>
      <c r="D269" s="20" t="s">
        <v>497</v>
      </c>
      <c r="E269" s="20"/>
      <c r="F269" s="22" t="s">
        <v>796</v>
      </c>
      <c r="G269" s="23" t="s">
        <v>351</v>
      </c>
      <c r="H269" s="57">
        <v>0</v>
      </c>
      <c r="I269" s="57">
        <v>2.8</v>
      </c>
      <c r="J269" s="24">
        <v>381496.94</v>
      </c>
    </row>
    <row r="270" spans="1:10" x14ac:dyDescent="0.25">
      <c r="A270" s="20">
        <v>269</v>
      </c>
      <c r="B270" s="21">
        <v>45923</v>
      </c>
      <c r="C270" s="20" t="s">
        <v>224</v>
      </c>
      <c r="D270" s="20" t="s">
        <v>759</v>
      </c>
      <c r="E270" s="20"/>
      <c r="F270" s="22" t="s">
        <v>789</v>
      </c>
      <c r="G270" s="23" t="s">
        <v>352</v>
      </c>
      <c r="H270" s="57">
        <v>0.1624854</v>
      </c>
      <c r="I270" s="57">
        <v>0</v>
      </c>
      <c r="J270" s="24">
        <v>365248.4</v>
      </c>
    </row>
    <row r="271" spans="1:10" x14ac:dyDescent="0.25">
      <c r="A271" s="20">
        <v>270</v>
      </c>
      <c r="B271" s="21">
        <v>45923</v>
      </c>
      <c r="C271" s="20" t="s">
        <v>224</v>
      </c>
      <c r="D271" s="25" t="s">
        <v>759</v>
      </c>
      <c r="E271" s="20"/>
      <c r="F271" s="22" t="s">
        <v>773</v>
      </c>
      <c r="G271" s="23" t="s">
        <v>353</v>
      </c>
      <c r="H271" s="57">
        <v>1</v>
      </c>
      <c r="I271" s="57">
        <v>0</v>
      </c>
      <c r="J271" s="24">
        <v>265248.40000000002</v>
      </c>
    </row>
    <row r="272" spans="1:10" x14ac:dyDescent="0.25">
      <c r="A272" s="20">
        <v>271</v>
      </c>
      <c r="B272" s="21">
        <v>45923</v>
      </c>
      <c r="C272" s="20" t="s">
        <v>224</v>
      </c>
      <c r="D272" s="20" t="s">
        <v>497</v>
      </c>
      <c r="E272" s="20"/>
      <c r="F272" s="22" t="s">
        <v>797</v>
      </c>
      <c r="G272" s="23" t="s">
        <v>354</v>
      </c>
      <c r="H272" s="57">
        <v>0</v>
      </c>
      <c r="I272" s="57">
        <v>5.3729100000000001</v>
      </c>
      <c r="J272" s="24">
        <v>802539.4</v>
      </c>
    </row>
    <row r="273" spans="1:10" x14ac:dyDescent="0.25">
      <c r="A273" s="20">
        <v>272</v>
      </c>
      <c r="B273" s="21">
        <v>45923</v>
      </c>
      <c r="C273" s="20" t="s">
        <v>224</v>
      </c>
      <c r="D273" s="20" t="s">
        <v>497</v>
      </c>
      <c r="E273" s="20"/>
      <c r="F273" s="22" t="s">
        <v>801</v>
      </c>
      <c r="G273" s="23" t="s">
        <v>355</v>
      </c>
      <c r="H273" s="57">
        <v>0</v>
      </c>
      <c r="I273" s="57">
        <v>3.5</v>
      </c>
      <c r="J273" s="24">
        <v>1152539.3999999999</v>
      </c>
    </row>
    <row r="274" spans="1:10" x14ac:dyDescent="0.25">
      <c r="A274" s="20">
        <v>273</v>
      </c>
      <c r="B274" s="21">
        <v>45924</v>
      </c>
      <c r="C274" s="20" t="s">
        <v>224</v>
      </c>
      <c r="D274" s="20" t="s">
        <v>91</v>
      </c>
      <c r="E274" s="20"/>
      <c r="F274" s="22" t="s">
        <v>92</v>
      </c>
      <c r="G274" s="23" t="s">
        <v>95</v>
      </c>
      <c r="H274" s="57">
        <v>0</v>
      </c>
      <c r="I274" s="57">
        <v>10</v>
      </c>
      <c r="J274" s="24">
        <v>2152539.4</v>
      </c>
    </row>
    <row r="275" spans="1:10" ht="25.5" x14ac:dyDescent="0.25">
      <c r="A275" s="20">
        <v>274</v>
      </c>
      <c r="B275" s="21">
        <v>45924</v>
      </c>
      <c r="C275" s="20" t="s">
        <v>224</v>
      </c>
      <c r="D275" s="20" t="s">
        <v>759</v>
      </c>
      <c r="E275" s="20"/>
      <c r="F275" s="22" t="s">
        <v>774</v>
      </c>
      <c r="G275" s="23" t="s">
        <v>356</v>
      </c>
      <c r="H275" s="57">
        <v>20</v>
      </c>
      <c r="I275" s="57">
        <v>0</v>
      </c>
      <c r="J275" s="24">
        <v>152539.4</v>
      </c>
    </row>
    <row r="276" spans="1:10" x14ac:dyDescent="0.25">
      <c r="A276" s="20">
        <v>275</v>
      </c>
      <c r="B276" s="21">
        <v>45924</v>
      </c>
      <c r="C276" s="20" t="s">
        <v>224</v>
      </c>
      <c r="D276" s="20" t="s">
        <v>497</v>
      </c>
      <c r="E276" s="20"/>
      <c r="F276" s="22" t="s">
        <v>796</v>
      </c>
      <c r="G276" s="23" t="s">
        <v>357</v>
      </c>
      <c r="H276" s="57">
        <v>0</v>
      </c>
      <c r="I276" s="57">
        <v>0.28847</v>
      </c>
      <c r="J276" s="24">
        <v>181386.4</v>
      </c>
    </row>
    <row r="277" spans="1:10" x14ac:dyDescent="0.25">
      <c r="A277" s="20">
        <v>276</v>
      </c>
      <c r="B277" s="21">
        <v>45924</v>
      </c>
      <c r="C277" s="20" t="s">
        <v>224</v>
      </c>
      <c r="D277" s="20" t="s">
        <v>497</v>
      </c>
      <c r="E277" s="20"/>
      <c r="F277" s="22" t="s">
        <v>797</v>
      </c>
      <c r="G277" s="23" t="s">
        <v>358</v>
      </c>
      <c r="H277" s="57">
        <v>0</v>
      </c>
      <c r="I277" s="57">
        <v>6.8184100000000001</v>
      </c>
      <c r="J277" s="24">
        <v>863227.4</v>
      </c>
    </row>
    <row r="278" spans="1:10" x14ac:dyDescent="0.25">
      <c r="A278" s="20">
        <v>277</v>
      </c>
      <c r="B278" s="21">
        <v>45924</v>
      </c>
      <c r="C278" s="20" t="s">
        <v>224</v>
      </c>
      <c r="D278" s="20" t="s">
        <v>497</v>
      </c>
      <c r="E278" s="20"/>
      <c r="F278" s="22" t="s">
        <v>796</v>
      </c>
      <c r="G278" s="23" t="s">
        <v>359</v>
      </c>
      <c r="H278" s="57">
        <v>0</v>
      </c>
      <c r="I278" s="57">
        <v>3</v>
      </c>
      <c r="J278" s="24">
        <v>1163227.3999999999</v>
      </c>
    </row>
    <row r="279" spans="1:10" x14ac:dyDescent="0.25">
      <c r="A279" s="20">
        <v>278</v>
      </c>
      <c r="B279" s="21">
        <v>45925</v>
      </c>
      <c r="C279" s="20" t="s">
        <v>224</v>
      </c>
      <c r="D279" s="20" t="s">
        <v>91</v>
      </c>
      <c r="E279" s="20"/>
      <c r="F279" s="22" t="s">
        <v>92</v>
      </c>
      <c r="G279" s="23" t="s">
        <v>280</v>
      </c>
      <c r="H279" s="57">
        <v>0</v>
      </c>
      <c r="I279" s="57">
        <v>5</v>
      </c>
      <c r="J279" s="24">
        <v>1663227.4</v>
      </c>
    </row>
    <row r="280" spans="1:10" x14ac:dyDescent="0.25">
      <c r="A280" s="20">
        <v>279</v>
      </c>
      <c r="B280" s="21">
        <v>45925</v>
      </c>
      <c r="C280" s="20" t="s">
        <v>224</v>
      </c>
      <c r="D280" s="20" t="s">
        <v>759</v>
      </c>
      <c r="E280" s="20"/>
      <c r="F280" s="22" t="s">
        <v>778</v>
      </c>
      <c r="G280" s="23" t="s">
        <v>360</v>
      </c>
      <c r="H280" s="57">
        <v>15</v>
      </c>
      <c r="I280" s="57">
        <v>0</v>
      </c>
      <c r="J280" s="24">
        <v>163227.4</v>
      </c>
    </row>
    <row r="281" spans="1:10" x14ac:dyDescent="0.25">
      <c r="A281" s="20">
        <v>280</v>
      </c>
      <c r="B281" s="21">
        <v>45925</v>
      </c>
      <c r="C281" s="20" t="s">
        <v>224</v>
      </c>
      <c r="D281" s="20" t="s">
        <v>497</v>
      </c>
      <c r="E281" s="20"/>
      <c r="F281" s="22" t="s">
        <v>796</v>
      </c>
      <c r="G281" s="23" t="s">
        <v>361</v>
      </c>
      <c r="H281" s="57">
        <v>0</v>
      </c>
      <c r="I281" s="57">
        <v>0.46024999999999999</v>
      </c>
      <c r="J281" s="24">
        <v>209252.4</v>
      </c>
    </row>
    <row r="282" spans="1:10" x14ac:dyDescent="0.25">
      <c r="A282" s="20">
        <v>281</v>
      </c>
      <c r="B282" s="21">
        <v>45925</v>
      </c>
      <c r="C282" s="20" t="s">
        <v>224</v>
      </c>
      <c r="D282" s="20" t="s">
        <v>497</v>
      </c>
      <c r="E282" s="20"/>
      <c r="F282" s="22" t="s">
        <v>802</v>
      </c>
      <c r="G282" s="23" t="s">
        <v>362</v>
      </c>
      <c r="H282" s="57">
        <v>0</v>
      </c>
      <c r="I282" s="57">
        <v>25</v>
      </c>
      <c r="J282" s="24">
        <v>2709252.4</v>
      </c>
    </row>
    <row r="283" spans="1:10" ht="25.5" x14ac:dyDescent="0.25">
      <c r="A283" s="20">
        <v>282</v>
      </c>
      <c r="B283" s="21">
        <v>45925</v>
      </c>
      <c r="C283" s="20" t="s">
        <v>224</v>
      </c>
      <c r="D283" s="20" t="s">
        <v>497</v>
      </c>
      <c r="E283" s="20"/>
      <c r="F283" s="22" t="s">
        <v>801</v>
      </c>
      <c r="G283" s="23" t="s">
        <v>363</v>
      </c>
      <c r="H283" s="57">
        <v>0</v>
      </c>
      <c r="I283" s="57">
        <v>4</v>
      </c>
      <c r="J283" s="24">
        <v>3109252.4</v>
      </c>
    </row>
    <row r="284" spans="1:10" x14ac:dyDescent="0.25">
      <c r="A284" s="20">
        <v>283</v>
      </c>
      <c r="B284" s="21">
        <v>45926</v>
      </c>
      <c r="C284" s="20" t="s">
        <v>224</v>
      </c>
      <c r="D284" s="20" t="s">
        <v>497</v>
      </c>
      <c r="E284" s="20"/>
      <c r="F284" s="22" t="s">
        <v>795</v>
      </c>
      <c r="G284" s="23" t="s">
        <v>364</v>
      </c>
      <c r="H284" s="57">
        <v>0</v>
      </c>
      <c r="I284" s="57">
        <v>3</v>
      </c>
      <c r="J284" s="24">
        <v>3409252.4</v>
      </c>
    </row>
    <row r="285" spans="1:10" x14ac:dyDescent="0.25">
      <c r="A285" s="20">
        <v>284</v>
      </c>
      <c r="B285" s="21">
        <v>45926</v>
      </c>
      <c r="C285" s="20" t="s">
        <v>224</v>
      </c>
      <c r="D285" s="20" t="s">
        <v>497</v>
      </c>
      <c r="E285" s="20"/>
      <c r="F285" s="22" t="s">
        <v>796</v>
      </c>
      <c r="G285" s="23" t="s">
        <v>365</v>
      </c>
      <c r="H285" s="57">
        <v>0</v>
      </c>
      <c r="I285" s="57">
        <v>3.5</v>
      </c>
      <c r="J285" s="24">
        <v>3759252.4</v>
      </c>
    </row>
    <row r="286" spans="1:10" x14ac:dyDescent="0.25">
      <c r="A286" s="20">
        <v>285</v>
      </c>
      <c r="B286" s="21">
        <v>45926</v>
      </c>
      <c r="C286" s="20" t="s">
        <v>224</v>
      </c>
      <c r="D286" s="20" t="s">
        <v>497</v>
      </c>
      <c r="E286" s="20"/>
      <c r="F286" s="22" t="s">
        <v>797</v>
      </c>
      <c r="G286" s="23" t="s">
        <v>366</v>
      </c>
      <c r="H286" s="57">
        <v>0</v>
      </c>
      <c r="I286" s="57">
        <v>19.866900000000001</v>
      </c>
      <c r="J286" s="24">
        <v>5745942.4000000004</v>
      </c>
    </row>
    <row r="287" spans="1:10" x14ac:dyDescent="0.25">
      <c r="A287" s="20">
        <v>286</v>
      </c>
      <c r="B287" s="21">
        <v>45926</v>
      </c>
      <c r="C287" s="20" t="s">
        <v>224</v>
      </c>
      <c r="D287" s="20" t="s">
        <v>759</v>
      </c>
      <c r="E287" s="20"/>
      <c r="F287" s="22" t="s">
        <v>765</v>
      </c>
      <c r="G287" s="23" t="s">
        <v>367</v>
      </c>
      <c r="H287" s="57">
        <v>0.5</v>
      </c>
      <c r="I287" s="57">
        <v>0</v>
      </c>
      <c r="J287" s="24">
        <v>5695942.4000000004</v>
      </c>
    </row>
    <row r="288" spans="1:10" ht="25.5" x14ac:dyDescent="0.25">
      <c r="A288" s="20">
        <v>287</v>
      </c>
      <c r="B288" s="21">
        <v>45926</v>
      </c>
      <c r="C288" s="20" t="s">
        <v>224</v>
      </c>
      <c r="D288" s="20" t="s">
        <v>759</v>
      </c>
      <c r="E288" s="20"/>
      <c r="F288" s="22" t="s">
        <v>774</v>
      </c>
      <c r="G288" s="23" t="s">
        <v>368</v>
      </c>
      <c r="H288" s="57">
        <v>15</v>
      </c>
      <c r="I288" s="57">
        <v>0</v>
      </c>
      <c r="J288" s="24">
        <v>4195942.4000000004</v>
      </c>
    </row>
    <row r="289" spans="1:10" x14ac:dyDescent="0.25">
      <c r="A289" s="20">
        <v>288</v>
      </c>
      <c r="B289" s="21">
        <v>45927</v>
      </c>
      <c r="C289" s="20" t="s">
        <v>224</v>
      </c>
      <c r="D289" s="20" t="s">
        <v>497</v>
      </c>
      <c r="E289" s="20"/>
      <c r="F289" s="22" t="s">
        <v>797</v>
      </c>
      <c r="G289" s="23" t="s">
        <v>369</v>
      </c>
      <c r="H289" s="57">
        <v>0</v>
      </c>
      <c r="I289" s="57">
        <v>5.9203299999999999</v>
      </c>
      <c r="J289" s="24">
        <v>4787975.4000000004</v>
      </c>
    </row>
    <row r="290" spans="1:10" x14ac:dyDescent="0.25">
      <c r="A290" s="20">
        <v>289</v>
      </c>
      <c r="B290" s="21">
        <v>45927</v>
      </c>
      <c r="C290" s="20" t="s">
        <v>224</v>
      </c>
      <c r="D290" s="20" t="s">
        <v>497</v>
      </c>
      <c r="E290" s="20"/>
      <c r="F290" s="22" t="s">
        <v>801</v>
      </c>
      <c r="G290" s="23" t="s">
        <v>370</v>
      </c>
      <c r="H290" s="57">
        <v>0</v>
      </c>
      <c r="I290" s="57">
        <v>5</v>
      </c>
      <c r="J290" s="24">
        <v>5287975.4000000004</v>
      </c>
    </row>
    <row r="291" spans="1:10" ht="25.5" x14ac:dyDescent="0.25">
      <c r="A291" s="20">
        <v>290</v>
      </c>
      <c r="B291" s="21">
        <v>45929</v>
      </c>
      <c r="C291" s="20" t="s">
        <v>224</v>
      </c>
      <c r="D291" s="20" t="s">
        <v>497</v>
      </c>
      <c r="E291" s="20"/>
      <c r="F291" s="22" t="s">
        <v>801</v>
      </c>
      <c r="G291" s="23" t="s">
        <v>371</v>
      </c>
      <c r="H291" s="57">
        <v>0</v>
      </c>
      <c r="I291" s="57">
        <v>3</v>
      </c>
      <c r="J291" s="24">
        <v>5587975.4000000004</v>
      </c>
    </row>
    <row r="292" spans="1:10" x14ac:dyDescent="0.25">
      <c r="A292" s="20">
        <v>291</v>
      </c>
      <c r="B292" s="21">
        <v>45929</v>
      </c>
      <c r="C292" s="20" t="s">
        <v>224</v>
      </c>
      <c r="D292" s="20" t="s">
        <v>140</v>
      </c>
      <c r="E292" s="20"/>
      <c r="F292" s="22" t="s">
        <v>141</v>
      </c>
      <c r="G292" s="23" t="s">
        <v>372</v>
      </c>
      <c r="H292" s="57">
        <v>2</v>
      </c>
      <c r="I292" s="57">
        <v>0</v>
      </c>
      <c r="J292" s="24">
        <v>5387975.4000000004</v>
      </c>
    </row>
    <row r="293" spans="1:10" x14ac:dyDescent="0.25">
      <c r="A293" s="20">
        <v>292</v>
      </c>
      <c r="B293" s="21">
        <v>45929</v>
      </c>
      <c r="C293" s="20" t="s">
        <v>224</v>
      </c>
      <c r="D293" s="20" t="s">
        <v>91</v>
      </c>
      <c r="E293" s="20"/>
      <c r="F293" s="22" t="s">
        <v>92</v>
      </c>
      <c r="G293" s="23" t="s">
        <v>373</v>
      </c>
      <c r="H293" s="57">
        <v>10</v>
      </c>
      <c r="I293" s="57">
        <v>0</v>
      </c>
      <c r="J293" s="24">
        <v>4387975.4000000004</v>
      </c>
    </row>
    <row r="294" spans="1:10" x14ac:dyDescent="0.25">
      <c r="A294" s="20">
        <v>293</v>
      </c>
      <c r="B294" s="21">
        <v>45929</v>
      </c>
      <c r="C294" s="20" t="s">
        <v>224</v>
      </c>
      <c r="D294" s="20" t="s">
        <v>497</v>
      </c>
      <c r="E294" s="20"/>
      <c r="F294" s="22" t="s">
        <v>796</v>
      </c>
      <c r="G294" s="23" t="s">
        <v>374</v>
      </c>
      <c r="H294" s="57">
        <v>0</v>
      </c>
      <c r="I294" s="57">
        <v>6</v>
      </c>
      <c r="J294" s="24">
        <v>4987975.4000000004</v>
      </c>
    </row>
    <row r="295" spans="1:10" ht="25.5" x14ac:dyDescent="0.25">
      <c r="A295" s="20">
        <v>294</v>
      </c>
      <c r="B295" s="21">
        <v>45929</v>
      </c>
      <c r="C295" s="20" t="s">
        <v>224</v>
      </c>
      <c r="D295" s="20" t="s">
        <v>759</v>
      </c>
      <c r="E295" s="20"/>
      <c r="F295" s="22" t="s">
        <v>774</v>
      </c>
      <c r="G295" s="23" t="s">
        <v>375</v>
      </c>
      <c r="H295" s="57">
        <v>15</v>
      </c>
      <c r="I295" s="57">
        <v>0</v>
      </c>
      <c r="J295" s="24">
        <v>3487975.4</v>
      </c>
    </row>
    <row r="296" spans="1:10" x14ac:dyDescent="0.25">
      <c r="A296" s="20">
        <v>295</v>
      </c>
      <c r="B296" s="21">
        <v>45930</v>
      </c>
      <c r="C296" s="20" t="s">
        <v>224</v>
      </c>
      <c r="D296" s="20" t="s">
        <v>759</v>
      </c>
      <c r="E296" s="20"/>
      <c r="F296" s="22" t="s">
        <v>778</v>
      </c>
      <c r="G296" s="23" t="s">
        <v>376</v>
      </c>
      <c r="H296" s="57">
        <v>25</v>
      </c>
      <c r="I296" s="57">
        <v>0</v>
      </c>
      <c r="J296" s="24">
        <v>987975.4</v>
      </c>
    </row>
    <row r="297" spans="1:10" x14ac:dyDescent="0.25">
      <c r="A297" s="20">
        <v>296</v>
      </c>
      <c r="B297" s="21">
        <v>45930</v>
      </c>
      <c r="C297" s="20" t="s">
        <v>224</v>
      </c>
      <c r="D297" s="20" t="s">
        <v>497</v>
      </c>
      <c r="E297" s="20"/>
      <c r="F297" s="22" t="s">
        <v>797</v>
      </c>
      <c r="G297" s="23" t="s">
        <v>377</v>
      </c>
      <c r="H297" s="57">
        <v>0</v>
      </c>
      <c r="I297" s="57">
        <v>14.961539999999999</v>
      </c>
      <c r="J297" s="24">
        <v>2484129.4</v>
      </c>
    </row>
    <row r="298" spans="1:10" x14ac:dyDescent="0.25">
      <c r="A298" s="20">
        <v>297</v>
      </c>
      <c r="B298" s="21">
        <v>45930</v>
      </c>
      <c r="C298" s="20" t="s">
        <v>224</v>
      </c>
      <c r="D298" s="20" t="s">
        <v>91</v>
      </c>
      <c r="E298" s="20"/>
      <c r="F298" s="22" t="s">
        <v>92</v>
      </c>
      <c r="G298" s="23" t="s">
        <v>378</v>
      </c>
      <c r="H298" s="57">
        <v>5</v>
      </c>
      <c r="I298" s="57">
        <v>0</v>
      </c>
      <c r="J298" s="24">
        <v>1984129.4</v>
      </c>
    </row>
    <row r="299" spans="1:10" x14ac:dyDescent="0.25">
      <c r="A299" s="20">
        <v>298</v>
      </c>
      <c r="B299" s="21">
        <v>45930</v>
      </c>
      <c r="C299" s="20" t="s">
        <v>224</v>
      </c>
      <c r="D299" s="20" t="s">
        <v>140</v>
      </c>
      <c r="E299" s="20"/>
      <c r="F299" s="22" t="s">
        <v>141</v>
      </c>
      <c r="G299" s="23" t="s">
        <v>379</v>
      </c>
      <c r="H299" s="57">
        <v>2</v>
      </c>
      <c r="I299" s="57">
        <v>0</v>
      </c>
      <c r="J299" s="24">
        <v>1784129.4</v>
      </c>
    </row>
    <row r="300" spans="1:10" x14ac:dyDescent="0.25">
      <c r="A300" s="20">
        <v>299</v>
      </c>
      <c r="B300" s="21">
        <v>45930</v>
      </c>
      <c r="C300" s="20" t="s">
        <v>224</v>
      </c>
      <c r="D300" s="20" t="s">
        <v>497</v>
      </c>
      <c r="E300" s="20"/>
      <c r="F300" s="22" t="s">
        <v>796</v>
      </c>
      <c r="G300" s="23" t="s">
        <v>380</v>
      </c>
      <c r="H300" s="57">
        <v>0</v>
      </c>
      <c r="I300" s="57">
        <v>5.5</v>
      </c>
      <c r="J300" s="24">
        <v>2334129.4</v>
      </c>
    </row>
    <row r="301" spans="1:10" ht="25.5" x14ac:dyDescent="0.25">
      <c r="A301" s="20">
        <v>300</v>
      </c>
      <c r="B301" s="21">
        <v>45930</v>
      </c>
      <c r="C301" s="20" t="s">
        <v>224</v>
      </c>
      <c r="D301" s="20" t="s">
        <v>759</v>
      </c>
      <c r="E301" s="20"/>
      <c r="F301" s="22" t="s">
        <v>774</v>
      </c>
      <c r="G301" s="23" t="s">
        <v>381</v>
      </c>
      <c r="H301" s="57">
        <v>20.968219999999999</v>
      </c>
      <c r="I301" s="57">
        <v>0</v>
      </c>
      <c r="J301" s="24">
        <v>237307.4</v>
      </c>
    </row>
    <row r="302" spans="1:10" ht="25.5" x14ac:dyDescent="0.25">
      <c r="A302" s="20">
        <v>301</v>
      </c>
      <c r="B302" s="21">
        <v>45930</v>
      </c>
      <c r="C302" s="20" t="s">
        <v>224</v>
      </c>
      <c r="D302" s="20" t="s">
        <v>497</v>
      </c>
      <c r="E302" s="20"/>
      <c r="F302" s="22" t="s">
        <v>801</v>
      </c>
      <c r="G302" s="23" t="s">
        <v>382</v>
      </c>
      <c r="H302" s="57">
        <v>0</v>
      </c>
      <c r="I302" s="57">
        <v>3</v>
      </c>
      <c r="J302" s="24">
        <v>537307.4</v>
      </c>
    </row>
    <row r="303" spans="1:10" x14ac:dyDescent="0.25">
      <c r="A303" s="20">
        <v>302</v>
      </c>
      <c r="B303" s="21">
        <v>45933</v>
      </c>
      <c r="C303" s="20" t="s">
        <v>383</v>
      </c>
      <c r="D303" s="20" t="s">
        <v>497</v>
      </c>
      <c r="E303" s="20"/>
      <c r="F303" s="22" t="s">
        <v>797</v>
      </c>
      <c r="G303" s="23" t="s">
        <v>384</v>
      </c>
      <c r="H303" s="57">
        <v>0</v>
      </c>
      <c r="I303" s="57">
        <v>6.6956800000000003</v>
      </c>
      <c r="J303" s="24">
        <v>1206875.3999999999</v>
      </c>
    </row>
    <row r="304" spans="1:10" x14ac:dyDescent="0.25">
      <c r="A304" s="20">
        <v>303</v>
      </c>
      <c r="B304" s="21">
        <v>45933</v>
      </c>
      <c r="C304" s="20" t="s">
        <v>383</v>
      </c>
      <c r="D304" s="20" t="s">
        <v>787</v>
      </c>
      <c r="E304" s="20">
        <v>1544156</v>
      </c>
      <c r="F304" s="22" t="s">
        <v>763</v>
      </c>
      <c r="G304" s="23" t="s">
        <v>385</v>
      </c>
      <c r="H304" s="57">
        <v>1.1299999999999999</v>
      </c>
      <c r="I304" s="57">
        <v>0</v>
      </c>
      <c r="J304" s="24">
        <v>1093875.3999999999</v>
      </c>
    </row>
    <row r="305" spans="1:10" x14ac:dyDescent="0.25">
      <c r="A305" s="20">
        <v>304</v>
      </c>
      <c r="B305" s="21">
        <v>45933</v>
      </c>
      <c r="C305" s="20" t="s">
        <v>383</v>
      </c>
      <c r="D305" s="20" t="s">
        <v>91</v>
      </c>
      <c r="E305" s="20"/>
      <c r="F305" s="22" t="s">
        <v>92</v>
      </c>
      <c r="G305" s="23" t="s">
        <v>95</v>
      </c>
      <c r="H305" s="57">
        <v>0</v>
      </c>
      <c r="I305" s="57">
        <v>6</v>
      </c>
      <c r="J305" s="24">
        <v>1693875.4</v>
      </c>
    </row>
    <row r="306" spans="1:10" ht="25.5" x14ac:dyDescent="0.25">
      <c r="A306" s="20">
        <v>305</v>
      </c>
      <c r="B306" s="21">
        <v>45933</v>
      </c>
      <c r="C306" s="20" t="s">
        <v>383</v>
      </c>
      <c r="D306" s="20" t="s">
        <v>759</v>
      </c>
      <c r="E306" s="20"/>
      <c r="F306" s="22" t="s">
        <v>774</v>
      </c>
      <c r="G306" s="23" t="s">
        <v>386</v>
      </c>
      <c r="H306" s="57">
        <v>13.34845</v>
      </c>
      <c r="I306" s="57">
        <v>0</v>
      </c>
      <c r="J306" s="24">
        <v>359030.4</v>
      </c>
    </row>
    <row r="307" spans="1:10" x14ac:dyDescent="0.25">
      <c r="A307" s="20">
        <v>306</v>
      </c>
      <c r="B307" s="21">
        <v>45934</v>
      </c>
      <c r="C307" s="20" t="s">
        <v>383</v>
      </c>
      <c r="D307" s="20" t="s">
        <v>497</v>
      </c>
      <c r="E307" s="20"/>
      <c r="F307" s="22" t="s">
        <v>796</v>
      </c>
      <c r="G307" s="23" t="s">
        <v>387</v>
      </c>
      <c r="H307" s="57">
        <v>0</v>
      </c>
      <c r="I307" s="57">
        <v>0.51380000000000003</v>
      </c>
      <c r="J307" s="24">
        <v>410410.4</v>
      </c>
    </row>
    <row r="308" spans="1:10" x14ac:dyDescent="0.25">
      <c r="A308" s="20">
        <v>307</v>
      </c>
      <c r="B308" s="21">
        <v>45934</v>
      </c>
      <c r="C308" s="20" t="s">
        <v>383</v>
      </c>
      <c r="D308" s="20" t="s">
        <v>497</v>
      </c>
      <c r="E308" s="20"/>
      <c r="F308" s="22" t="s">
        <v>797</v>
      </c>
      <c r="G308" s="23" t="s">
        <v>388</v>
      </c>
      <c r="H308" s="57">
        <v>0</v>
      </c>
      <c r="I308" s="57">
        <v>4.5897699999999997</v>
      </c>
      <c r="J308" s="24">
        <v>869387.4</v>
      </c>
    </row>
    <row r="309" spans="1:10" ht="25.5" x14ac:dyDescent="0.25">
      <c r="A309" s="20">
        <v>308</v>
      </c>
      <c r="B309" s="21">
        <v>45936</v>
      </c>
      <c r="C309" s="20" t="s">
        <v>383</v>
      </c>
      <c r="D309" s="20" t="s">
        <v>497</v>
      </c>
      <c r="E309" s="20"/>
      <c r="F309" s="22" t="s">
        <v>801</v>
      </c>
      <c r="G309" s="23" t="s">
        <v>389</v>
      </c>
      <c r="H309" s="57">
        <v>0</v>
      </c>
      <c r="I309" s="57">
        <v>3</v>
      </c>
      <c r="J309" s="24">
        <v>1169387.3999999999</v>
      </c>
    </row>
    <row r="310" spans="1:10" x14ac:dyDescent="0.25">
      <c r="A310" s="20">
        <v>309</v>
      </c>
      <c r="B310" s="21">
        <v>45936</v>
      </c>
      <c r="C310" s="20" t="s">
        <v>383</v>
      </c>
      <c r="D310" s="20" t="s">
        <v>91</v>
      </c>
      <c r="E310" s="20"/>
      <c r="F310" s="22" t="s">
        <v>92</v>
      </c>
      <c r="G310" s="23" t="s">
        <v>95</v>
      </c>
      <c r="H310" s="57">
        <v>0</v>
      </c>
      <c r="I310" s="57">
        <v>1.5</v>
      </c>
      <c r="J310" s="24">
        <v>1319387.3999999999</v>
      </c>
    </row>
    <row r="311" spans="1:10" ht="25.5" x14ac:dyDescent="0.25">
      <c r="A311" s="20">
        <v>310</v>
      </c>
      <c r="B311" s="21">
        <v>45936</v>
      </c>
      <c r="C311" s="20" t="s">
        <v>383</v>
      </c>
      <c r="D311" s="20" t="s">
        <v>759</v>
      </c>
      <c r="E311" s="20"/>
      <c r="F311" s="22" t="s">
        <v>774</v>
      </c>
      <c r="G311" s="23" t="s">
        <v>390</v>
      </c>
      <c r="H311" s="57">
        <v>10</v>
      </c>
      <c r="I311" s="57">
        <v>0</v>
      </c>
      <c r="J311" s="24">
        <v>319387.40000000002</v>
      </c>
    </row>
    <row r="312" spans="1:10" x14ac:dyDescent="0.25">
      <c r="A312" s="20">
        <v>311</v>
      </c>
      <c r="B312" s="21">
        <v>45936</v>
      </c>
      <c r="C312" s="20" t="s">
        <v>383</v>
      </c>
      <c r="D312" s="20" t="s">
        <v>497</v>
      </c>
      <c r="E312" s="20"/>
      <c r="F312" s="22" t="s">
        <v>797</v>
      </c>
      <c r="G312" s="23" t="s">
        <v>391</v>
      </c>
      <c r="H312" s="57">
        <v>0</v>
      </c>
      <c r="I312" s="57">
        <v>3.3215400000000002</v>
      </c>
      <c r="J312" s="24">
        <v>651541.4</v>
      </c>
    </row>
    <row r="313" spans="1:10" x14ac:dyDescent="0.25">
      <c r="A313" s="20">
        <v>312</v>
      </c>
      <c r="B313" s="21">
        <v>45937</v>
      </c>
      <c r="C313" s="20" t="s">
        <v>383</v>
      </c>
      <c r="D313" s="20" t="s">
        <v>497</v>
      </c>
      <c r="E313" s="20"/>
      <c r="F313" s="22" t="s">
        <v>797</v>
      </c>
      <c r="G313" s="23" t="s">
        <v>392</v>
      </c>
      <c r="H313" s="57">
        <v>0</v>
      </c>
      <c r="I313" s="57">
        <v>8.3730100000000007</v>
      </c>
      <c r="J313" s="24">
        <v>1488842.4</v>
      </c>
    </row>
    <row r="314" spans="1:10" x14ac:dyDescent="0.25">
      <c r="A314" s="20">
        <v>313</v>
      </c>
      <c r="B314" s="21">
        <v>45937</v>
      </c>
      <c r="C314" s="20" t="s">
        <v>383</v>
      </c>
      <c r="D314" s="20" t="s">
        <v>746</v>
      </c>
      <c r="E314" s="20"/>
      <c r="F314" s="22" t="s">
        <v>757</v>
      </c>
      <c r="G314" s="23" t="s">
        <v>393</v>
      </c>
      <c r="H314" s="57">
        <v>3.6406100000000001</v>
      </c>
      <c r="I314" s="57">
        <v>0</v>
      </c>
      <c r="J314" s="24">
        <v>1124781.3999999999</v>
      </c>
    </row>
    <row r="315" spans="1:10" ht="25.5" x14ac:dyDescent="0.25">
      <c r="A315" s="20">
        <v>314</v>
      </c>
      <c r="B315" s="21">
        <v>45937</v>
      </c>
      <c r="C315" s="20" t="s">
        <v>383</v>
      </c>
      <c r="D315" s="25" t="s">
        <v>759</v>
      </c>
      <c r="E315" s="20"/>
      <c r="F315" s="22" t="s">
        <v>776</v>
      </c>
      <c r="G315" s="23" t="s">
        <v>394</v>
      </c>
      <c r="H315" s="57">
        <v>1.31558</v>
      </c>
      <c r="I315" s="57">
        <v>0</v>
      </c>
      <c r="J315" s="24">
        <v>993223.4</v>
      </c>
    </row>
    <row r="316" spans="1:10" ht="25.5" x14ac:dyDescent="0.25">
      <c r="A316" s="20">
        <v>315</v>
      </c>
      <c r="B316" s="21">
        <v>45937</v>
      </c>
      <c r="C316" s="20" t="s">
        <v>383</v>
      </c>
      <c r="D316" s="25" t="s">
        <v>759</v>
      </c>
      <c r="E316" s="20"/>
      <c r="F316" s="22" t="s">
        <v>773</v>
      </c>
      <c r="G316" s="23" t="s">
        <v>395</v>
      </c>
      <c r="H316" s="57">
        <v>2.3289599999999999</v>
      </c>
      <c r="I316" s="57">
        <v>0</v>
      </c>
      <c r="J316" s="24">
        <v>760327.4</v>
      </c>
    </row>
    <row r="317" spans="1:10" ht="25.5" x14ac:dyDescent="0.25">
      <c r="A317" s="20">
        <v>316</v>
      </c>
      <c r="B317" s="21">
        <v>45937</v>
      </c>
      <c r="C317" s="20" t="s">
        <v>383</v>
      </c>
      <c r="D317" s="20" t="s">
        <v>759</v>
      </c>
      <c r="E317" s="20"/>
      <c r="F317" s="22" t="s">
        <v>774</v>
      </c>
      <c r="G317" s="23" t="s">
        <v>396</v>
      </c>
      <c r="H317" s="57">
        <v>5</v>
      </c>
      <c r="I317" s="57">
        <v>0</v>
      </c>
      <c r="J317" s="24">
        <v>260327.4</v>
      </c>
    </row>
    <row r="318" spans="1:10" ht="25.5" x14ac:dyDescent="0.25">
      <c r="A318" s="20">
        <v>317</v>
      </c>
      <c r="B318" s="21">
        <v>45937</v>
      </c>
      <c r="C318" s="20" t="s">
        <v>383</v>
      </c>
      <c r="D318" s="25" t="s">
        <v>759</v>
      </c>
      <c r="E318" s="20"/>
      <c r="F318" s="22" t="s">
        <v>769</v>
      </c>
      <c r="G318" s="23" t="s">
        <v>397</v>
      </c>
      <c r="H318" s="57">
        <v>0.94035000000000002</v>
      </c>
      <c r="I318" s="57">
        <v>0</v>
      </c>
      <c r="J318" s="24">
        <v>166292.4</v>
      </c>
    </row>
    <row r="319" spans="1:10" x14ac:dyDescent="0.25">
      <c r="A319" s="20">
        <v>318</v>
      </c>
      <c r="B319" s="21">
        <v>45937</v>
      </c>
      <c r="C319" s="20" t="s">
        <v>383</v>
      </c>
      <c r="D319" s="20" t="s">
        <v>759</v>
      </c>
      <c r="E319" s="20"/>
      <c r="F319" s="22" t="s">
        <v>766</v>
      </c>
      <c r="G319" s="23" t="s">
        <v>398</v>
      </c>
      <c r="H319" s="57">
        <v>0.70967999999999998</v>
      </c>
      <c r="I319" s="57">
        <v>0</v>
      </c>
      <c r="J319" s="24">
        <v>95324.4</v>
      </c>
    </row>
    <row r="320" spans="1:10" x14ac:dyDescent="0.25">
      <c r="A320" s="20">
        <v>319</v>
      </c>
      <c r="B320" s="21">
        <v>45938</v>
      </c>
      <c r="C320" s="20" t="s">
        <v>383</v>
      </c>
      <c r="D320" s="20" t="s">
        <v>91</v>
      </c>
      <c r="E320" s="20"/>
      <c r="F320" s="22" t="s">
        <v>92</v>
      </c>
      <c r="G320" s="23" t="s">
        <v>95</v>
      </c>
      <c r="H320" s="57">
        <v>0</v>
      </c>
      <c r="I320" s="57">
        <v>0.2</v>
      </c>
      <c r="J320" s="24">
        <v>115324.4</v>
      </c>
    </row>
    <row r="321" spans="1:10" ht="25.5" x14ac:dyDescent="0.25">
      <c r="A321" s="20">
        <v>320</v>
      </c>
      <c r="B321" s="21">
        <v>45938</v>
      </c>
      <c r="C321" s="20" t="s">
        <v>383</v>
      </c>
      <c r="D321" s="20" t="s">
        <v>759</v>
      </c>
      <c r="E321" s="20"/>
      <c r="F321" s="22" t="s">
        <v>772</v>
      </c>
      <c r="G321" s="23" t="s">
        <v>399</v>
      </c>
      <c r="H321" s="57">
        <v>1</v>
      </c>
      <c r="I321" s="57">
        <v>0</v>
      </c>
      <c r="J321" s="24">
        <v>15324.4</v>
      </c>
    </row>
    <row r="322" spans="1:10" x14ac:dyDescent="0.25">
      <c r="A322" s="20">
        <v>321</v>
      </c>
      <c r="B322" s="21">
        <v>45938</v>
      </c>
      <c r="C322" s="20" t="s">
        <v>383</v>
      </c>
      <c r="D322" s="20" t="s">
        <v>497</v>
      </c>
      <c r="E322" s="20"/>
      <c r="F322" s="22" t="s">
        <v>797</v>
      </c>
      <c r="G322" s="23" t="s">
        <v>400</v>
      </c>
      <c r="H322" s="57">
        <v>0</v>
      </c>
      <c r="I322" s="57">
        <v>10.549049999999999</v>
      </c>
      <c r="J322" s="24">
        <v>1070229.3999999999</v>
      </c>
    </row>
    <row r="323" spans="1:10" ht="25.5" x14ac:dyDescent="0.25">
      <c r="A323" s="20">
        <v>322</v>
      </c>
      <c r="B323" s="21">
        <v>45938</v>
      </c>
      <c r="C323" s="20" t="s">
        <v>383</v>
      </c>
      <c r="D323" s="20" t="s">
        <v>759</v>
      </c>
      <c r="E323" s="20"/>
      <c r="F323" s="22" t="s">
        <v>762</v>
      </c>
      <c r="G323" s="23" t="s">
        <v>401</v>
      </c>
      <c r="H323" s="57">
        <v>1</v>
      </c>
      <c r="I323" s="57">
        <v>0</v>
      </c>
      <c r="J323" s="24">
        <v>970229.4</v>
      </c>
    </row>
    <row r="324" spans="1:10" ht="25.5" x14ac:dyDescent="0.25">
      <c r="A324" s="20">
        <v>323</v>
      </c>
      <c r="B324" s="21">
        <v>45938</v>
      </c>
      <c r="C324" s="20" t="s">
        <v>383</v>
      </c>
      <c r="D324" s="20" t="s">
        <v>759</v>
      </c>
      <c r="E324" s="20"/>
      <c r="F324" s="22" t="s">
        <v>783</v>
      </c>
      <c r="G324" s="23" t="s">
        <v>402</v>
      </c>
      <c r="H324" s="57">
        <v>0.4</v>
      </c>
      <c r="I324" s="57">
        <v>0</v>
      </c>
      <c r="J324" s="24">
        <v>930229.4</v>
      </c>
    </row>
    <row r="325" spans="1:10" x14ac:dyDescent="0.25">
      <c r="A325" s="20">
        <v>324</v>
      </c>
      <c r="B325" s="21">
        <v>45938</v>
      </c>
      <c r="C325" s="20" t="s">
        <v>383</v>
      </c>
      <c r="D325" s="20" t="s">
        <v>91</v>
      </c>
      <c r="E325" s="20"/>
      <c r="F325" s="22" t="s">
        <v>92</v>
      </c>
      <c r="G325" s="23" t="s">
        <v>95</v>
      </c>
      <c r="H325" s="57">
        <v>0</v>
      </c>
      <c r="I325" s="57">
        <v>12</v>
      </c>
      <c r="J325" s="24">
        <v>2130229.4</v>
      </c>
    </row>
    <row r="326" spans="1:10" ht="25.5" x14ac:dyDescent="0.25">
      <c r="A326" s="20">
        <v>325</v>
      </c>
      <c r="B326" s="21">
        <v>45938</v>
      </c>
      <c r="C326" s="20" t="s">
        <v>383</v>
      </c>
      <c r="D326" s="20" t="s">
        <v>759</v>
      </c>
      <c r="E326" s="20"/>
      <c r="F326" s="22" t="s">
        <v>774</v>
      </c>
      <c r="G326" s="23" t="s">
        <v>403</v>
      </c>
      <c r="H326" s="57">
        <v>20</v>
      </c>
      <c r="I326" s="57">
        <v>0</v>
      </c>
      <c r="J326" s="24">
        <v>130229.4</v>
      </c>
    </row>
    <row r="327" spans="1:10" ht="25.5" x14ac:dyDescent="0.25">
      <c r="A327" s="20">
        <v>326</v>
      </c>
      <c r="B327" s="21">
        <v>45938</v>
      </c>
      <c r="C327" s="20" t="s">
        <v>383</v>
      </c>
      <c r="D327" s="20" t="s">
        <v>497</v>
      </c>
      <c r="E327" s="20"/>
      <c r="F327" s="22" t="s">
        <v>801</v>
      </c>
      <c r="G327" s="23" t="s">
        <v>404</v>
      </c>
      <c r="H327" s="57">
        <v>0</v>
      </c>
      <c r="I327" s="57">
        <v>5</v>
      </c>
      <c r="J327" s="24">
        <v>630229.4</v>
      </c>
    </row>
    <row r="328" spans="1:10" x14ac:dyDescent="0.25">
      <c r="A328" s="20">
        <v>327</v>
      </c>
      <c r="B328" s="21">
        <v>45939</v>
      </c>
      <c r="C328" s="20" t="s">
        <v>383</v>
      </c>
      <c r="D328" s="20" t="s">
        <v>91</v>
      </c>
      <c r="E328" s="20"/>
      <c r="F328" s="22" t="s">
        <v>92</v>
      </c>
      <c r="G328" s="23" t="s">
        <v>280</v>
      </c>
      <c r="H328" s="57">
        <v>0</v>
      </c>
      <c r="I328" s="57">
        <v>4</v>
      </c>
      <c r="J328" s="24">
        <v>1030229.4</v>
      </c>
    </row>
    <row r="329" spans="1:10" x14ac:dyDescent="0.25">
      <c r="A329" s="20">
        <v>328</v>
      </c>
      <c r="B329" s="21">
        <v>45939</v>
      </c>
      <c r="C329" s="20" t="s">
        <v>383</v>
      </c>
      <c r="D329" s="20" t="s">
        <v>759</v>
      </c>
      <c r="E329" s="20"/>
      <c r="F329" s="22" t="s">
        <v>778</v>
      </c>
      <c r="G329" s="23" t="s">
        <v>405</v>
      </c>
      <c r="H329" s="57">
        <v>10</v>
      </c>
      <c r="I329" s="57">
        <v>0</v>
      </c>
      <c r="J329" s="24">
        <v>30229.4</v>
      </c>
    </row>
    <row r="330" spans="1:10" x14ac:dyDescent="0.25">
      <c r="A330" s="20">
        <v>329</v>
      </c>
      <c r="B330" s="21">
        <v>45939</v>
      </c>
      <c r="C330" s="20" t="s">
        <v>383</v>
      </c>
      <c r="D330" s="20" t="s">
        <v>497</v>
      </c>
      <c r="E330" s="20"/>
      <c r="F330" s="22" t="s">
        <v>797</v>
      </c>
      <c r="G330" s="23" t="s">
        <v>406</v>
      </c>
      <c r="H330" s="57">
        <v>0</v>
      </c>
      <c r="I330" s="57">
        <v>13.06798</v>
      </c>
      <c r="J330" s="24">
        <v>1337027.3999999999</v>
      </c>
    </row>
    <row r="331" spans="1:10" x14ac:dyDescent="0.25">
      <c r="A331" s="20">
        <v>330</v>
      </c>
      <c r="B331" s="21">
        <v>45939</v>
      </c>
      <c r="C331" s="20" t="s">
        <v>383</v>
      </c>
      <c r="D331" s="20" t="s">
        <v>759</v>
      </c>
      <c r="E331" s="20"/>
      <c r="F331" s="22" t="s">
        <v>778</v>
      </c>
      <c r="G331" s="23" t="s">
        <v>407</v>
      </c>
      <c r="H331" s="57">
        <v>10</v>
      </c>
      <c r="I331" s="57">
        <v>0</v>
      </c>
      <c r="J331" s="24">
        <v>337027.4</v>
      </c>
    </row>
    <row r="332" spans="1:10" x14ac:dyDescent="0.25">
      <c r="A332" s="20">
        <v>331</v>
      </c>
      <c r="B332" s="21">
        <v>45939</v>
      </c>
      <c r="C332" s="20" t="s">
        <v>383</v>
      </c>
      <c r="D332" s="20" t="s">
        <v>759</v>
      </c>
      <c r="E332" s="20"/>
      <c r="F332" s="22" t="s">
        <v>765</v>
      </c>
      <c r="G332" s="23" t="s">
        <v>408</v>
      </c>
      <c r="H332" s="57">
        <v>0.66</v>
      </c>
      <c r="I332" s="57">
        <v>0</v>
      </c>
      <c r="J332" s="24">
        <v>271027.40000000002</v>
      </c>
    </row>
    <row r="333" spans="1:10" x14ac:dyDescent="0.25">
      <c r="A333" s="20">
        <v>332</v>
      </c>
      <c r="B333" s="21">
        <v>45940</v>
      </c>
      <c r="C333" s="20" t="s">
        <v>383</v>
      </c>
      <c r="D333" s="20" t="s">
        <v>497</v>
      </c>
      <c r="E333" s="20"/>
      <c r="F333" s="22" t="s">
        <v>797</v>
      </c>
      <c r="G333" s="23" t="s">
        <v>409</v>
      </c>
      <c r="H333" s="57">
        <v>0</v>
      </c>
      <c r="I333" s="57">
        <v>11.28739</v>
      </c>
      <c r="J333" s="24">
        <v>1399766.4</v>
      </c>
    </row>
    <row r="334" spans="1:10" ht="25.5" x14ac:dyDescent="0.25">
      <c r="A334" s="20">
        <v>333</v>
      </c>
      <c r="B334" s="21">
        <v>45940</v>
      </c>
      <c r="C334" s="20" t="s">
        <v>383</v>
      </c>
      <c r="D334" s="20" t="s">
        <v>497</v>
      </c>
      <c r="E334" s="20"/>
      <c r="F334" s="22" t="s">
        <v>801</v>
      </c>
      <c r="G334" s="23" t="s">
        <v>410</v>
      </c>
      <c r="H334" s="57">
        <v>0</v>
      </c>
      <c r="I334" s="57">
        <v>5</v>
      </c>
      <c r="J334" s="24">
        <v>1899766.4</v>
      </c>
    </row>
    <row r="335" spans="1:10" x14ac:dyDescent="0.25">
      <c r="A335" s="20">
        <v>334</v>
      </c>
      <c r="B335" s="21">
        <v>45940</v>
      </c>
      <c r="C335" s="20" t="s">
        <v>383</v>
      </c>
      <c r="D335" s="20" t="s">
        <v>91</v>
      </c>
      <c r="E335" s="20"/>
      <c r="F335" s="22" t="s">
        <v>92</v>
      </c>
      <c r="G335" s="23" t="s">
        <v>411</v>
      </c>
      <c r="H335" s="57">
        <v>1.5</v>
      </c>
      <c r="I335" s="57">
        <v>0</v>
      </c>
      <c r="J335" s="24">
        <v>1749766.4</v>
      </c>
    </row>
    <row r="336" spans="1:10" x14ac:dyDescent="0.25">
      <c r="A336" s="20">
        <v>335</v>
      </c>
      <c r="B336" s="21">
        <v>45940</v>
      </c>
      <c r="C336" s="20" t="s">
        <v>383</v>
      </c>
      <c r="D336" s="20" t="s">
        <v>759</v>
      </c>
      <c r="E336" s="20"/>
      <c r="F336" s="22" t="s">
        <v>778</v>
      </c>
      <c r="G336" s="23" t="s">
        <v>412</v>
      </c>
      <c r="H336" s="57">
        <v>10</v>
      </c>
      <c r="I336" s="57">
        <v>0</v>
      </c>
      <c r="J336" s="24">
        <v>749766.4</v>
      </c>
    </row>
    <row r="337" spans="1:10" x14ac:dyDescent="0.25">
      <c r="A337" s="20">
        <v>336</v>
      </c>
      <c r="B337" s="21">
        <v>45940</v>
      </c>
      <c r="C337" s="20" t="s">
        <v>383</v>
      </c>
      <c r="D337" s="20" t="s">
        <v>759</v>
      </c>
      <c r="E337" s="20"/>
      <c r="F337" s="22" t="s">
        <v>784</v>
      </c>
      <c r="G337" s="23" t="s">
        <v>413</v>
      </c>
      <c r="H337" s="57">
        <v>0.66</v>
      </c>
      <c r="I337" s="57">
        <v>0</v>
      </c>
      <c r="J337" s="24">
        <v>683766.4</v>
      </c>
    </row>
    <row r="338" spans="1:10" x14ac:dyDescent="0.25">
      <c r="A338" s="20">
        <v>338</v>
      </c>
      <c r="B338" s="21">
        <v>45940</v>
      </c>
      <c r="C338" s="20" t="s">
        <v>383</v>
      </c>
      <c r="D338" s="20" t="s">
        <v>787</v>
      </c>
      <c r="E338" s="20">
        <v>1544173</v>
      </c>
      <c r="F338" s="22" t="s">
        <v>790</v>
      </c>
      <c r="G338" s="23" t="s">
        <v>414</v>
      </c>
      <c r="H338" s="57">
        <v>1</v>
      </c>
      <c r="I338" s="57">
        <v>0</v>
      </c>
      <c r="J338" s="24">
        <v>174344.4</v>
      </c>
    </row>
    <row r="339" spans="1:10" ht="25.5" x14ac:dyDescent="0.25">
      <c r="A339" s="20">
        <v>339</v>
      </c>
      <c r="B339" s="21">
        <v>45940</v>
      </c>
      <c r="C339" s="20" t="s">
        <v>383</v>
      </c>
      <c r="D339" s="20" t="s">
        <v>747</v>
      </c>
      <c r="E339" s="20"/>
      <c r="F339" s="22" t="s">
        <v>834</v>
      </c>
      <c r="G339" s="23" t="s">
        <v>415</v>
      </c>
      <c r="H339" s="57">
        <v>0</v>
      </c>
      <c r="I339" s="57">
        <v>4.09422</v>
      </c>
      <c r="J339" s="24">
        <v>583766.4</v>
      </c>
    </row>
    <row r="340" spans="1:10" x14ac:dyDescent="0.25">
      <c r="A340" s="20">
        <v>340</v>
      </c>
      <c r="B340" s="21">
        <v>45940</v>
      </c>
      <c r="C340" s="20" t="s">
        <v>383</v>
      </c>
      <c r="D340" s="20" t="s">
        <v>746</v>
      </c>
      <c r="E340" s="20"/>
      <c r="F340" s="22" t="s">
        <v>125</v>
      </c>
      <c r="G340" s="23" t="s">
        <v>416</v>
      </c>
      <c r="H340" s="57">
        <v>4.09422</v>
      </c>
      <c r="I340" s="57">
        <v>0</v>
      </c>
      <c r="J340" s="24">
        <v>174344.4</v>
      </c>
    </row>
    <row r="341" spans="1:10" x14ac:dyDescent="0.25">
      <c r="A341" s="20">
        <v>341</v>
      </c>
      <c r="B341" s="21">
        <v>45942</v>
      </c>
      <c r="C341" s="20" t="s">
        <v>383</v>
      </c>
      <c r="D341" s="20" t="s">
        <v>752</v>
      </c>
      <c r="E341" s="20"/>
      <c r="F341" s="22" t="s">
        <v>753</v>
      </c>
      <c r="G341" s="23" t="s">
        <v>146</v>
      </c>
      <c r="H341" s="57">
        <v>0.42004000000000002</v>
      </c>
      <c r="I341" s="57">
        <v>0</v>
      </c>
      <c r="J341" s="24">
        <v>132340.4</v>
      </c>
    </row>
    <row r="342" spans="1:10" x14ac:dyDescent="0.25">
      <c r="A342" s="20">
        <v>342</v>
      </c>
      <c r="B342" s="21">
        <v>45943</v>
      </c>
      <c r="C342" s="20" t="s">
        <v>383</v>
      </c>
      <c r="D342" s="20" t="s">
        <v>497</v>
      </c>
      <c r="E342" s="20"/>
      <c r="F342" s="22" t="s">
        <v>797</v>
      </c>
      <c r="G342" s="23" t="s">
        <v>417</v>
      </c>
      <c r="H342" s="57">
        <v>0</v>
      </c>
      <c r="I342" s="57">
        <v>12.07443</v>
      </c>
      <c r="J342" s="24">
        <v>1339783.3999999999</v>
      </c>
    </row>
    <row r="343" spans="1:10" x14ac:dyDescent="0.25">
      <c r="A343" s="20">
        <v>343</v>
      </c>
      <c r="B343" s="21">
        <v>45943</v>
      </c>
      <c r="C343" s="20" t="s">
        <v>383</v>
      </c>
      <c r="D343" s="20" t="s">
        <v>759</v>
      </c>
      <c r="E343" s="20"/>
      <c r="F343" s="22" t="s">
        <v>778</v>
      </c>
      <c r="G343" s="23" t="s">
        <v>418</v>
      </c>
      <c r="H343" s="57">
        <v>11</v>
      </c>
      <c r="I343" s="57">
        <v>0</v>
      </c>
      <c r="J343" s="24">
        <v>239783.4</v>
      </c>
    </row>
    <row r="344" spans="1:10" ht="25.5" x14ac:dyDescent="0.25">
      <c r="A344" s="20">
        <v>344</v>
      </c>
      <c r="B344" s="21">
        <v>45943</v>
      </c>
      <c r="C344" s="20" t="s">
        <v>383</v>
      </c>
      <c r="D344" s="20" t="s">
        <v>91</v>
      </c>
      <c r="E344" s="20"/>
      <c r="F344" s="22" t="s">
        <v>92</v>
      </c>
      <c r="G344" s="23" t="s">
        <v>124</v>
      </c>
      <c r="H344" s="57">
        <v>1.5</v>
      </c>
      <c r="I344" s="57">
        <v>0</v>
      </c>
      <c r="J344" s="24">
        <v>89783.4</v>
      </c>
    </row>
    <row r="345" spans="1:10" ht="25.5" x14ac:dyDescent="0.25">
      <c r="A345" s="20">
        <v>345</v>
      </c>
      <c r="B345" s="21">
        <v>45943</v>
      </c>
      <c r="C345" s="20" t="s">
        <v>383</v>
      </c>
      <c r="D345" s="20" t="s">
        <v>759</v>
      </c>
      <c r="E345" s="20"/>
      <c r="F345" s="22" t="s">
        <v>789</v>
      </c>
      <c r="G345" s="23" t="s">
        <v>419</v>
      </c>
      <c r="H345" s="57">
        <v>0.30418970000000001</v>
      </c>
      <c r="I345" s="57">
        <v>0</v>
      </c>
      <c r="J345" s="24">
        <v>59364.43</v>
      </c>
    </row>
    <row r="346" spans="1:10" x14ac:dyDescent="0.25">
      <c r="A346" s="20">
        <v>346</v>
      </c>
      <c r="B346" s="21">
        <v>45944</v>
      </c>
      <c r="C346" s="20" t="s">
        <v>383</v>
      </c>
      <c r="D346" s="20" t="s">
        <v>91</v>
      </c>
      <c r="E346" s="20"/>
      <c r="F346" s="22" t="s">
        <v>92</v>
      </c>
      <c r="G346" s="23" t="s">
        <v>95</v>
      </c>
      <c r="H346" s="57">
        <v>0</v>
      </c>
      <c r="I346" s="57">
        <v>16</v>
      </c>
      <c r="J346" s="24">
        <v>1659364.43</v>
      </c>
    </row>
    <row r="347" spans="1:10" x14ac:dyDescent="0.25">
      <c r="A347" s="20">
        <v>347</v>
      </c>
      <c r="B347" s="21">
        <v>45944</v>
      </c>
      <c r="C347" s="20" t="s">
        <v>383</v>
      </c>
      <c r="D347" s="20" t="s">
        <v>497</v>
      </c>
      <c r="E347" s="20"/>
      <c r="F347" s="22" t="s">
        <v>797</v>
      </c>
      <c r="G347" s="23" t="s">
        <v>420</v>
      </c>
      <c r="H347" s="57">
        <v>0</v>
      </c>
      <c r="I347" s="57">
        <v>13.120570000000001</v>
      </c>
      <c r="J347" s="24">
        <v>2971421.43</v>
      </c>
    </row>
    <row r="348" spans="1:10" x14ac:dyDescent="0.25">
      <c r="A348" s="20">
        <v>348</v>
      </c>
      <c r="B348" s="21">
        <v>45944</v>
      </c>
      <c r="C348" s="20" t="s">
        <v>383</v>
      </c>
      <c r="D348" s="20" t="s">
        <v>759</v>
      </c>
      <c r="E348" s="20"/>
      <c r="F348" s="22" t="s">
        <v>778</v>
      </c>
      <c r="G348" s="23" t="s">
        <v>421</v>
      </c>
      <c r="H348" s="57">
        <v>12</v>
      </c>
      <c r="I348" s="57">
        <v>0</v>
      </c>
      <c r="J348" s="24">
        <v>1771421.43</v>
      </c>
    </row>
    <row r="349" spans="1:10" ht="25.5" x14ac:dyDescent="0.25">
      <c r="A349" s="20">
        <v>349</v>
      </c>
      <c r="B349" s="21">
        <v>45944</v>
      </c>
      <c r="C349" s="20" t="s">
        <v>383</v>
      </c>
      <c r="D349" s="20" t="s">
        <v>759</v>
      </c>
      <c r="E349" s="20"/>
      <c r="F349" s="22" t="s">
        <v>774</v>
      </c>
      <c r="G349" s="23" t="s">
        <v>422</v>
      </c>
      <c r="H349" s="57">
        <v>16</v>
      </c>
      <c r="I349" s="57">
        <v>0</v>
      </c>
      <c r="J349" s="24">
        <v>171421.43</v>
      </c>
    </row>
    <row r="350" spans="1:10" ht="25.5" x14ac:dyDescent="0.25">
      <c r="A350" s="20">
        <v>350</v>
      </c>
      <c r="B350" s="21">
        <v>45944</v>
      </c>
      <c r="C350" s="20" t="s">
        <v>383</v>
      </c>
      <c r="D350" s="20" t="s">
        <v>497</v>
      </c>
      <c r="E350" s="20"/>
      <c r="F350" s="22" t="s">
        <v>801</v>
      </c>
      <c r="G350" s="23" t="s">
        <v>423</v>
      </c>
      <c r="H350" s="57">
        <v>0</v>
      </c>
      <c r="I350" s="57">
        <v>5</v>
      </c>
      <c r="J350" s="24">
        <v>671421.43</v>
      </c>
    </row>
    <row r="351" spans="1:10" ht="25.5" x14ac:dyDescent="0.25">
      <c r="A351" s="20">
        <v>351</v>
      </c>
      <c r="B351" s="21">
        <v>45944</v>
      </c>
      <c r="C351" s="20" t="s">
        <v>383</v>
      </c>
      <c r="D351" s="20" t="s">
        <v>759</v>
      </c>
      <c r="E351" s="20"/>
      <c r="F351" s="22" t="s">
        <v>789</v>
      </c>
      <c r="G351" s="23" t="s">
        <v>424</v>
      </c>
      <c r="H351" s="57">
        <v>0.05</v>
      </c>
      <c r="I351" s="57">
        <v>0</v>
      </c>
      <c r="J351" s="24">
        <v>666421.43000000005</v>
      </c>
    </row>
    <row r="352" spans="1:10" x14ac:dyDescent="0.25">
      <c r="A352" s="20">
        <v>352</v>
      </c>
      <c r="B352" s="21">
        <v>45945</v>
      </c>
      <c r="C352" s="20" t="s">
        <v>383</v>
      </c>
      <c r="D352" s="20" t="s">
        <v>91</v>
      </c>
      <c r="E352" s="20"/>
      <c r="F352" s="22" t="s">
        <v>92</v>
      </c>
      <c r="G352" s="23" t="s">
        <v>280</v>
      </c>
      <c r="H352" s="57">
        <v>0</v>
      </c>
      <c r="I352" s="57">
        <v>5</v>
      </c>
      <c r="J352" s="24">
        <v>1166421.43</v>
      </c>
    </row>
    <row r="353" spans="1:10" x14ac:dyDescent="0.25">
      <c r="A353" s="20">
        <v>353</v>
      </c>
      <c r="B353" s="21">
        <v>45945</v>
      </c>
      <c r="C353" s="20" t="s">
        <v>383</v>
      </c>
      <c r="D353" s="20" t="s">
        <v>759</v>
      </c>
      <c r="E353" s="20"/>
      <c r="F353" s="22" t="s">
        <v>778</v>
      </c>
      <c r="G353" s="23" t="s">
        <v>425</v>
      </c>
      <c r="H353" s="57">
        <v>11.5</v>
      </c>
      <c r="I353" s="57">
        <v>0</v>
      </c>
      <c r="J353" s="24">
        <v>16421.43</v>
      </c>
    </row>
    <row r="354" spans="1:10" x14ac:dyDescent="0.25">
      <c r="A354" s="20">
        <v>354</v>
      </c>
      <c r="B354" s="21">
        <v>45945</v>
      </c>
      <c r="C354" s="20" t="s">
        <v>383</v>
      </c>
      <c r="D354" s="20" t="s">
        <v>497</v>
      </c>
      <c r="E354" s="20"/>
      <c r="F354" s="22" t="s">
        <v>797</v>
      </c>
      <c r="G354" s="23" t="s">
        <v>426</v>
      </c>
      <c r="H354" s="57">
        <v>0</v>
      </c>
      <c r="I354" s="57">
        <v>8.1645599999999998</v>
      </c>
      <c r="J354" s="24">
        <v>832877.43</v>
      </c>
    </row>
    <row r="355" spans="1:10" x14ac:dyDescent="0.25">
      <c r="A355" s="20">
        <v>355</v>
      </c>
      <c r="B355" s="21">
        <v>45945</v>
      </c>
      <c r="C355" s="20" t="s">
        <v>383</v>
      </c>
      <c r="D355" s="20" t="s">
        <v>759</v>
      </c>
      <c r="E355" s="20"/>
      <c r="F355" s="22" t="s">
        <v>778</v>
      </c>
      <c r="G355" s="23" t="s">
        <v>427</v>
      </c>
      <c r="H355" s="57">
        <v>8</v>
      </c>
      <c r="I355" s="57">
        <v>0</v>
      </c>
      <c r="J355" s="24">
        <v>32877.43</v>
      </c>
    </row>
    <row r="356" spans="1:10" x14ac:dyDescent="0.25">
      <c r="A356" s="20">
        <v>356</v>
      </c>
      <c r="B356" s="21">
        <v>45945</v>
      </c>
      <c r="C356" s="20" t="s">
        <v>383</v>
      </c>
      <c r="D356" s="20" t="s">
        <v>497</v>
      </c>
      <c r="E356" s="20"/>
      <c r="F356" s="22" t="s">
        <v>801</v>
      </c>
      <c r="G356" s="23" t="s">
        <v>428</v>
      </c>
      <c r="H356" s="57">
        <v>0</v>
      </c>
      <c r="I356" s="57">
        <v>5</v>
      </c>
      <c r="J356" s="24">
        <v>532877.43000000005</v>
      </c>
    </row>
    <row r="357" spans="1:10" ht="25.5" x14ac:dyDescent="0.25">
      <c r="A357" s="20">
        <v>357</v>
      </c>
      <c r="B357" s="21">
        <v>45946</v>
      </c>
      <c r="C357" s="20" t="s">
        <v>383</v>
      </c>
      <c r="D357" s="20" t="s">
        <v>497</v>
      </c>
      <c r="E357" s="20"/>
      <c r="F357" s="22" t="s">
        <v>801</v>
      </c>
      <c r="G357" s="23" t="s">
        <v>429</v>
      </c>
      <c r="H357" s="57">
        <v>0</v>
      </c>
      <c r="I357" s="57">
        <v>3</v>
      </c>
      <c r="J357" s="24">
        <v>832877.43</v>
      </c>
    </row>
    <row r="358" spans="1:10" x14ac:dyDescent="0.25">
      <c r="A358" s="20">
        <v>358</v>
      </c>
      <c r="B358" s="21">
        <v>45946</v>
      </c>
      <c r="C358" s="20" t="s">
        <v>383</v>
      </c>
      <c r="D358" s="20" t="s">
        <v>759</v>
      </c>
      <c r="E358" s="20"/>
      <c r="F358" s="22" t="s">
        <v>778</v>
      </c>
      <c r="G358" s="23" t="s">
        <v>430</v>
      </c>
      <c r="H358" s="57">
        <v>8</v>
      </c>
      <c r="I358" s="57">
        <v>0</v>
      </c>
      <c r="J358" s="24">
        <v>32877.43</v>
      </c>
    </row>
    <row r="359" spans="1:10" ht="25.5" x14ac:dyDescent="0.25">
      <c r="A359" s="20">
        <v>359</v>
      </c>
      <c r="B359" s="21">
        <v>45947</v>
      </c>
      <c r="C359" s="20" t="s">
        <v>383</v>
      </c>
      <c r="D359" s="20" t="s">
        <v>497</v>
      </c>
      <c r="E359" s="20"/>
      <c r="F359" s="22" t="s">
        <v>801</v>
      </c>
      <c r="G359" s="23" t="s">
        <v>431</v>
      </c>
      <c r="H359" s="57">
        <v>0</v>
      </c>
      <c r="I359" s="57">
        <v>3</v>
      </c>
      <c r="J359" s="24">
        <v>332877.43</v>
      </c>
    </row>
    <row r="360" spans="1:10" x14ac:dyDescent="0.25">
      <c r="A360" s="20">
        <v>360</v>
      </c>
      <c r="B360" s="21">
        <v>45947</v>
      </c>
      <c r="C360" s="20" t="s">
        <v>383</v>
      </c>
      <c r="D360" s="20" t="s">
        <v>497</v>
      </c>
      <c r="E360" s="20"/>
      <c r="F360" s="22" t="s">
        <v>797</v>
      </c>
      <c r="G360" s="23" t="s">
        <v>432</v>
      </c>
      <c r="H360" s="57">
        <v>0</v>
      </c>
      <c r="I360" s="57">
        <v>16.220030000000001</v>
      </c>
      <c r="J360" s="24">
        <v>1954880.43</v>
      </c>
    </row>
    <row r="361" spans="1:10" x14ac:dyDescent="0.25">
      <c r="A361" s="20">
        <v>361</v>
      </c>
      <c r="B361" s="21">
        <v>45947</v>
      </c>
      <c r="C361" s="20" t="s">
        <v>383</v>
      </c>
      <c r="D361" s="20" t="s">
        <v>759</v>
      </c>
      <c r="E361" s="20"/>
      <c r="F361" s="22" t="s">
        <v>778</v>
      </c>
      <c r="G361" s="23" t="s">
        <v>433</v>
      </c>
      <c r="H361" s="57">
        <v>18</v>
      </c>
      <c r="I361" s="57">
        <v>0</v>
      </c>
      <c r="J361" s="24">
        <v>154880.43</v>
      </c>
    </row>
    <row r="362" spans="1:10" ht="25.5" x14ac:dyDescent="0.25">
      <c r="A362" s="20">
        <v>362</v>
      </c>
      <c r="B362" s="21">
        <v>45948</v>
      </c>
      <c r="C362" s="20" t="s">
        <v>383</v>
      </c>
      <c r="D362" s="20" t="s">
        <v>759</v>
      </c>
      <c r="E362" s="20"/>
      <c r="F362" s="22" t="s">
        <v>771</v>
      </c>
      <c r="G362" s="23" t="s">
        <v>434</v>
      </c>
      <c r="H362" s="57">
        <v>0.5</v>
      </c>
      <c r="I362" s="57">
        <v>0</v>
      </c>
      <c r="J362" s="24">
        <v>104880.43</v>
      </c>
    </row>
    <row r="363" spans="1:10" x14ac:dyDescent="0.25">
      <c r="A363" s="20">
        <v>363</v>
      </c>
      <c r="B363" s="21">
        <v>45952</v>
      </c>
      <c r="C363" s="20" t="s">
        <v>383</v>
      </c>
      <c r="D363" s="20" t="s">
        <v>497</v>
      </c>
      <c r="E363" s="20"/>
      <c r="F363" s="22" t="s">
        <v>795</v>
      </c>
      <c r="G363" s="23" t="s">
        <v>435</v>
      </c>
      <c r="H363" s="57">
        <v>0</v>
      </c>
      <c r="I363" s="57">
        <v>3</v>
      </c>
      <c r="J363" s="24">
        <v>404880.43</v>
      </c>
    </row>
    <row r="364" spans="1:10" x14ac:dyDescent="0.25">
      <c r="A364" s="20">
        <v>364</v>
      </c>
      <c r="B364" s="21">
        <v>45952</v>
      </c>
      <c r="C364" s="20" t="s">
        <v>383</v>
      </c>
      <c r="D364" s="20" t="s">
        <v>759</v>
      </c>
      <c r="E364" s="20"/>
      <c r="F364" s="22" t="s">
        <v>765</v>
      </c>
      <c r="G364" s="23" t="s">
        <v>436</v>
      </c>
      <c r="H364" s="57">
        <v>0.15</v>
      </c>
      <c r="I364" s="57">
        <v>0</v>
      </c>
      <c r="J364" s="24">
        <v>389880.43</v>
      </c>
    </row>
    <row r="365" spans="1:10" ht="25.5" x14ac:dyDescent="0.25">
      <c r="A365" s="20">
        <v>365</v>
      </c>
      <c r="B365" s="21">
        <v>45952</v>
      </c>
      <c r="C365" s="20" t="s">
        <v>383</v>
      </c>
      <c r="D365" s="20" t="s">
        <v>497</v>
      </c>
      <c r="E365" s="20"/>
      <c r="F365" s="22" t="s">
        <v>801</v>
      </c>
      <c r="G365" s="23" t="s">
        <v>437</v>
      </c>
      <c r="H365" s="57">
        <v>0</v>
      </c>
      <c r="I365" s="57">
        <v>3</v>
      </c>
      <c r="J365" s="24">
        <v>689880.43</v>
      </c>
    </row>
    <row r="366" spans="1:10" x14ac:dyDescent="0.25">
      <c r="A366" s="20">
        <v>366</v>
      </c>
      <c r="B366" s="21">
        <v>45953</v>
      </c>
      <c r="C366" s="20" t="s">
        <v>383</v>
      </c>
      <c r="D366" s="20" t="s">
        <v>752</v>
      </c>
      <c r="E366" s="20"/>
      <c r="F366" s="22" t="s">
        <v>754</v>
      </c>
      <c r="G366" s="23" t="s">
        <v>188</v>
      </c>
      <c r="H366" s="57">
        <v>0.13242000000000001</v>
      </c>
      <c r="I366" s="57">
        <v>0</v>
      </c>
      <c r="J366" s="24">
        <v>676638.43</v>
      </c>
    </row>
    <row r="367" spans="1:10" x14ac:dyDescent="0.25">
      <c r="A367" s="20">
        <v>367</v>
      </c>
      <c r="B367" s="21">
        <v>45953</v>
      </c>
      <c r="C367" s="20" t="s">
        <v>383</v>
      </c>
      <c r="D367" s="20" t="s">
        <v>759</v>
      </c>
      <c r="E367" s="20"/>
      <c r="F367" s="22" t="s">
        <v>778</v>
      </c>
      <c r="G367" s="23" t="s">
        <v>438</v>
      </c>
      <c r="H367" s="57">
        <v>6.5</v>
      </c>
      <c r="I367" s="57">
        <v>0</v>
      </c>
      <c r="J367" s="24">
        <v>26638.43</v>
      </c>
    </row>
    <row r="368" spans="1:10" ht="25.5" x14ac:dyDescent="0.25">
      <c r="A368" s="20">
        <v>368</v>
      </c>
      <c r="B368" s="21">
        <v>45953</v>
      </c>
      <c r="C368" s="20" t="s">
        <v>383</v>
      </c>
      <c r="D368" s="20" t="s">
        <v>497</v>
      </c>
      <c r="E368" s="20"/>
      <c r="F368" s="22" t="s">
        <v>801</v>
      </c>
      <c r="G368" s="23" t="s">
        <v>439</v>
      </c>
      <c r="H368" s="57">
        <v>0</v>
      </c>
      <c r="I368" s="57">
        <v>4</v>
      </c>
      <c r="J368" s="24">
        <v>426638.43</v>
      </c>
    </row>
    <row r="369" spans="1:10" x14ac:dyDescent="0.25">
      <c r="A369" s="20">
        <v>369</v>
      </c>
      <c r="B369" s="21">
        <v>45953</v>
      </c>
      <c r="C369" s="20" t="s">
        <v>383</v>
      </c>
      <c r="D369" s="20" t="s">
        <v>497</v>
      </c>
      <c r="E369" s="20"/>
      <c r="F369" s="22" t="s">
        <v>797</v>
      </c>
      <c r="G369" s="23" t="s">
        <v>440</v>
      </c>
      <c r="H369" s="57">
        <v>0</v>
      </c>
      <c r="I369" s="57">
        <v>12.631600000000001</v>
      </c>
      <c r="J369" s="24">
        <v>1689798.43</v>
      </c>
    </row>
    <row r="370" spans="1:10" x14ac:dyDescent="0.25">
      <c r="A370" s="20">
        <v>370</v>
      </c>
      <c r="B370" s="21">
        <v>45953</v>
      </c>
      <c r="C370" s="20" t="s">
        <v>383</v>
      </c>
      <c r="D370" s="20" t="s">
        <v>759</v>
      </c>
      <c r="E370" s="20"/>
      <c r="F370" s="22" t="s">
        <v>778</v>
      </c>
      <c r="G370" s="23" t="s">
        <v>441</v>
      </c>
      <c r="H370" s="57">
        <v>13.5</v>
      </c>
      <c r="I370" s="57">
        <v>0</v>
      </c>
      <c r="J370" s="24">
        <v>339798.43</v>
      </c>
    </row>
    <row r="371" spans="1:10" x14ac:dyDescent="0.25">
      <c r="A371" s="20">
        <v>371</v>
      </c>
      <c r="B371" s="21">
        <v>45953</v>
      </c>
      <c r="C371" s="20" t="s">
        <v>383</v>
      </c>
      <c r="D371" s="20" t="s">
        <v>497</v>
      </c>
      <c r="E371" s="20"/>
      <c r="F371" s="22" t="s">
        <v>765</v>
      </c>
      <c r="G371" s="23" t="s">
        <v>442</v>
      </c>
      <c r="H371" s="57">
        <v>0</v>
      </c>
      <c r="I371" s="57">
        <v>35</v>
      </c>
      <c r="J371" s="24">
        <v>3839798.43</v>
      </c>
    </row>
    <row r="372" spans="1:10" ht="25.5" x14ac:dyDescent="0.25">
      <c r="A372" s="20">
        <v>372</v>
      </c>
      <c r="B372" s="21">
        <v>45953</v>
      </c>
      <c r="C372" s="20" t="s">
        <v>383</v>
      </c>
      <c r="D372" s="20" t="s">
        <v>759</v>
      </c>
      <c r="E372" s="20"/>
      <c r="F372" s="22" t="s">
        <v>774</v>
      </c>
      <c r="G372" s="23" t="s">
        <v>443</v>
      </c>
      <c r="H372" s="57">
        <v>30</v>
      </c>
      <c r="I372" s="57">
        <v>0</v>
      </c>
      <c r="J372" s="24">
        <v>839798.43</v>
      </c>
    </row>
    <row r="373" spans="1:10" ht="25.5" x14ac:dyDescent="0.25">
      <c r="A373" s="20">
        <v>373</v>
      </c>
      <c r="B373" s="21">
        <v>45953</v>
      </c>
      <c r="C373" s="20" t="s">
        <v>383</v>
      </c>
      <c r="D373" s="20" t="s">
        <v>759</v>
      </c>
      <c r="E373" s="20"/>
      <c r="F373" s="22" t="s">
        <v>781</v>
      </c>
      <c r="G373" s="23" t="s">
        <v>444</v>
      </c>
      <c r="H373" s="57">
        <v>0.1</v>
      </c>
      <c r="I373" s="57">
        <v>0</v>
      </c>
      <c r="J373" s="24">
        <v>829798.43</v>
      </c>
    </row>
    <row r="374" spans="1:10" x14ac:dyDescent="0.25">
      <c r="A374" s="20">
        <v>374</v>
      </c>
      <c r="B374" s="21">
        <v>45953</v>
      </c>
      <c r="C374" s="20" t="s">
        <v>383</v>
      </c>
      <c r="D374" s="20" t="s">
        <v>787</v>
      </c>
      <c r="E374" s="20">
        <v>1544182</v>
      </c>
      <c r="F374" s="22" t="s">
        <v>786</v>
      </c>
      <c r="G374" s="23" t="s">
        <v>445</v>
      </c>
      <c r="H374" s="57">
        <v>0.2</v>
      </c>
      <c r="I374" s="57">
        <v>0</v>
      </c>
      <c r="J374" s="24">
        <v>809798.43</v>
      </c>
    </row>
    <row r="375" spans="1:10" x14ac:dyDescent="0.25">
      <c r="A375" s="20">
        <v>375</v>
      </c>
      <c r="B375" s="21">
        <v>45954</v>
      </c>
      <c r="C375" s="20" t="s">
        <v>383</v>
      </c>
      <c r="D375" s="20" t="s">
        <v>497</v>
      </c>
      <c r="E375" s="20"/>
      <c r="F375" s="22" t="s">
        <v>797</v>
      </c>
      <c r="G375" s="23" t="s">
        <v>446</v>
      </c>
      <c r="H375" s="57">
        <v>0</v>
      </c>
      <c r="I375" s="57">
        <v>16.058330000000002</v>
      </c>
      <c r="J375" s="24">
        <v>2415631.4300000002</v>
      </c>
    </row>
    <row r="376" spans="1:10" ht="25.5" x14ac:dyDescent="0.25">
      <c r="A376" s="20">
        <v>376</v>
      </c>
      <c r="B376" s="21">
        <v>45954</v>
      </c>
      <c r="C376" s="20" t="s">
        <v>383</v>
      </c>
      <c r="D376" s="20" t="s">
        <v>759</v>
      </c>
      <c r="E376" s="20"/>
      <c r="F376" s="22" t="s">
        <v>774</v>
      </c>
      <c r="G376" s="23" t="s">
        <v>447</v>
      </c>
      <c r="H376" s="57">
        <v>14.834110000000001</v>
      </c>
      <c r="I376" s="57">
        <v>0</v>
      </c>
      <c r="J376" s="24">
        <v>932220.43</v>
      </c>
    </row>
    <row r="377" spans="1:10" ht="25.5" x14ac:dyDescent="0.25">
      <c r="A377" s="20">
        <v>377</v>
      </c>
      <c r="B377" s="21">
        <v>45954</v>
      </c>
      <c r="C377" s="20" t="s">
        <v>383</v>
      </c>
      <c r="D377" s="20" t="s">
        <v>759</v>
      </c>
      <c r="E377" s="20"/>
      <c r="F377" s="22" t="s">
        <v>789</v>
      </c>
      <c r="G377" s="23" t="s">
        <v>448</v>
      </c>
      <c r="H377" s="57">
        <v>0.27016000000000001</v>
      </c>
      <c r="I377" s="57">
        <v>0</v>
      </c>
      <c r="J377" s="24">
        <v>905204.43</v>
      </c>
    </row>
    <row r="378" spans="1:10" x14ac:dyDescent="0.25">
      <c r="A378" s="20">
        <v>378</v>
      </c>
      <c r="B378" s="21">
        <v>45957</v>
      </c>
      <c r="C378" s="20" t="s">
        <v>383</v>
      </c>
      <c r="D378" s="20" t="s">
        <v>497</v>
      </c>
      <c r="E378" s="20"/>
      <c r="F378" s="22" t="s">
        <v>797</v>
      </c>
      <c r="G378" s="23" t="s">
        <v>449</v>
      </c>
      <c r="H378" s="57">
        <v>0</v>
      </c>
      <c r="I378" s="57">
        <v>4.9443200000000003</v>
      </c>
      <c r="J378" s="24">
        <v>1399636.43</v>
      </c>
    </row>
    <row r="379" spans="1:10" x14ac:dyDescent="0.25">
      <c r="A379" s="20">
        <v>379</v>
      </c>
      <c r="B379" s="21">
        <v>45957</v>
      </c>
      <c r="C379" s="20" t="s">
        <v>383</v>
      </c>
      <c r="D379" s="20" t="s">
        <v>759</v>
      </c>
      <c r="E379" s="20"/>
      <c r="F379" s="22" t="s">
        <v>758</v>
      </c>
      <c r="G379" s="23" t="s">
        <v>450</v>
      </c>
      <c r="H379" s="57">
        <v>3.4750000000000001</v>
      </c>
      <c r="I379" s="57">
        <v>0</v>
      </c>
      <c r="J379" s="24">
        <v>1052136.43</v>
      </c>
    </row>
    <row r="380" spans="1:10" x14ac:dyDescent="0.25">
      <c r="A380" s="20">
        <v>380</v>
      </c>
      <c r="B380" s="21">
        <v>45957</v>
      </c>
      <c r="C380" s="20" t="s">
        <v>383</v>
      </c>
      <c r="D380" s="20" t="s">
        <v>759</v>
      </c>
      <c r="E380" s="20"/>
      <c r="F380" s="22" t="s">
        <v>778</v>
      </c>
      <c r="G380" s="23" t="s">
        <v>451</v>
      </c>
      <c r="H380" s="57">
        <v>10</v>
      </c>
      <c r="I380" s="57">
        <v>0</v>
      </c>
      <c r="J380" s="24">
        <v>52136.43</v>
      </c>
    </row>
    <row r="381" spans="1:10" x14ac:dyDescent="0.25">
      <c r="A381" s="20">
        <v>381</v>
      </c>
      <c r="B381" s="21">
        <v>45957</v>
      </c>
      <c r="C381" s="20" t="s">
        <v>383</v>
      </c>
      <c r="D381" s="20" t="s">
        <v>497</v>
      </c>
      <c r="E381" s="20"/>
      <c r="F381" s="22" t="s">
        <v>797</v>
      </c>
      <c r="G381" s="23" t="s">
        <v>452</v>
      </c>
      <c r="H381" s="57">
        <v>0</v>
      </c>
      <c r="I381" s="57">
        <v>9.8321500000000004</v>
      </c>
      <c r="J381" s="24">
        <v>1035351.43</v>
      </c>
    </row>
    <row r="382" spans="1:10" x14ac:dyDescent="0.25">
      <c r="A382" s="20">
        <v>382</v>
      </c>
      <c r="B382" s="21">
        <v>45957</v>
      </c>
      <c r="C382" s="20" t="s">
        <v>383</v>
      </c>
      <c r="D382" s="20" t="s">
        <v>759</v>
      </c>
      <c r="E382" s="20"/>
      <c r="F382" s="22" t="s">
        <v>778</v>
      </c>
      <c r="G382" s="23" t="s">
        <v>453</v>
      </c>
      <c r="H382" s="57">
        <v>8</v>
      </c>
      <c r="I382" s="57">
        <v>0</v>
      </c>
      <c r="J382" s="24">
        <v>235351.43</v>
      </c>
    </row>
    <row r="383" spans="1:10" x14ac:dyDescent="0.25">
      <c r="A383" s="20">
        <v>383</v>
      </c>
      <c r="B383" s="21">
        <v>45958</v>
      </c>
      <c r="C383" s="20" t="s">
        <v>383</v>
      </c>
      <c r="D383" s="20" t="s">
        <v>497</v>
      </c>
      <c r="E383" s="20"/>
      <c r="F383" s="22" t="s">
        <v>797</v>
      </c>
      <c r="G383" s="23" t="s">
        <v>454</v>
      </c>
      <c r="H383" s="57">
        <v>0</v>
      </c>
      <c r="I383" s="57">
        <v>9.0704399999999996</v>
      </c>
      <c r="J383" s="24">
        <v>1142395.43</v>
      </c>
    </row>
    <row r="384" spans="1:10" ht="25.5" x14ac:dyDescent="0.25">
      <c r="A384" s="20">
        <v>384</v>
      </c>
      <c r="B384" s="21">
        <v>45958</v>
      </c>
      <c r="C384" s="20" t="s">
        <v>383</v>
      </c>
      <c r="D384" s="20" t="s">
        <v>759</v>
      </c>
      <c r="E384" s="20"/>
      <c r="F384" s="22" t="s">
        <v>774</v>
      </c>
      <c r="G384" s="23" t="s">
        <v>455</v>
      </c>
      <c r="H384" s="57">
        <v>11</v>
      </c>
      <c r="I384" s="57">
        <v>0</v>
      </c>
      <c r="J384" s="24">
        <v>42395.43</v>
      </c>
    </row>
    <row r="385" spans="1:10" x14ac:dyDescent="0.25">
      <c r="A385" s="20">
        <v>385</v>
      </c>
      <c r="B385" s="21">
        <v>45958</v>
      </c>
      <c r="C385" s="20" t="s">
        <v>383</v>
      </c>
      <c r="D385" s="20" t="s">
        <v>497</v>
      </c>
      <c r="E385" s="20"/>
      <c r="F385" s="22" t="s">
        <v>801</v>
      </c>
      <c r="G385" s="23" t="s">
        <v>456</v>
      </c>
      <c r="H385" s="57">
        <v>0</v>
      </c>
      <c r="I385" s="57">
        <v>7</v>
      </c>
      <c r="J385" s="24">
        <v>742395.43</v>
      </c>
    </row>
    <row r="386" spans="1:10" ht="25.5" x14ac:dyDescent="0.25">
      <c r="A386" s="20">
        <v>386</v>
      </c>
      <c r="B386" s="21">
        <v>45958</v>
      </c>
      <c r="C386" s="20" t="s">
        <v>383</v>
      </c>
      <c r="D386" s="20" t="s">
        <v>91</v>
      </c>
      <c r="E386" s="20"/>
      <c r="F386" s="22" t="s">
        <v>92</v>
      </c>
      <c r="G386" s="23" t="s">
        <v>101</v>
      </c>
      <c r="H386" s="57">
        <v>0</v>
      </c>
      <c r="I386" s="57">
        <v>1.5</v>
      </c>
      <c r="J386" s="24">
        <v>892395.43</v>
      </c>
    </row>
    <row r="387" spans="1:10" x14ac:dyDescent="0.25">
      <c r="A387" s="20">
        <v>387</v>
      </c>
      <c r="B387" s="21">
        <v>45958</v>
      </c>
      <c r="C387" s="20" t="s">
        <v>383</v>
      </c>
      <c r="D387" s="25" t="s">
        <v>759</v>
      </c>
      <c r="E387" s="20"/>
      <c r="F387" s="22" t="s">
        <v>773</v>
      </c>
      <c r="G387" s="23" t="s">
        <v>457</v>
      </c>
      <c r="H387" s="57">
        <v>1</v>
      </c>
      <c r="I387" s="57">
        <v>0</v>
      </c>
      <c r="J387" s="24">
        <v>792395.43</v>
      </c>
    </row>
    <row r="388" spans="1:10" x14ac:dyDescent="0.25">
      <c r="A388" s="20">
        <v>388</v>
      </c>
      <c r="B388" s="21">
        <v>45959</v>
      </c>
      <c r="C388" s="20" t="s">
        <v>383</v>
      </c>
      <c r="D388" s="20" t="s">
        <v>759</v>
      </c>
      <c r="E388" s="20"/>
      <c r="F388" s="22" t="s">
        <v>778</v>
      </c>
      <c r="G388" s="23" t="s">
        <v>458</v>
      </c>
      <c r="H388" s="57">
        <v>7</v>
      </c>
      <c r="I388" s="57">
        <v>0</v>
      </c>
      <c r="J388" s="24">
        <v>92395.43</v>
      </c>
    </row>
    <row r="389" spans="1:10" x14ac:dyDescent="0.25">
      <c r="A389" s="20">
        <v>389</v>
      </c>
      <c r="B389" s="21">
        <v>45959</v>
      </c>
      <c r="C389" s="20" t="s">
        <v>383</v>
      </c>
      <c r="D389" s="20" t="s">
        <v>497</v>
      </c>
      <c r="E389" s="20"/>
      <c r="F389" s="22" t="s">
        <v>797</v>
      </c>
      <c r="G389" s="23" t="s">
        <v>459</v>
      </c>
      <c r="H389" s="57">
        <v>0</v>
      </c>
      <c r="I389" s="57">
        <v>11.143230000000001</v>
      </c>
      <c r="J389" s="24">
        <v>1206718.43</v>
      </c>
    </row>
    <row r="390" spans="1:10" x14ac:dyDescent="0.25">
      <c r="A390" s="20">
        <v>390</v>
      </c>
      <c r="B390" s="21">
        <v>45959</v>
      </c>
      <c r="C390" s="20" t="s">
        <v>383</v>
      </c>
      <c r="D390" s="20" t="s">
        <v>91</v>
      </c>
      <c r="E390" s="20"/>
      <c r="F390" s="22" t="s">
        <v>92</v>
      </c>
      <c r="G390" s="23" t="s">
        <v>460</v>
      </c>
      <c r="H390" s="57">
        <v>1.3</v>
      </c>
      <c r="I390" s="57">
        <v>0</v>
      </c>
      <c r="J390" s="24">
        <v>1076718.43</v>
      </c>
    </row>
    <row r="391" spans="1:10" x14ac:dyDescent="0.25">
      <c r="A391" s="20">
        <v>391</v>
      </c>
      <c r="B391" s="21">
        <v>45959</v>
      </c>
      <c r="C391" s="20" t="s">
        <v>383</v>
      </c>
      <c r="D391" s="20" t="s">
        <v>759</v>
      </c>
      <c r="E391" s="20"/>
      <c r="F391" s="22" t="s">
        <v>765</v>
      </c>
      <c r="G391" s="23" t="s">
        <v>461</v>
      </c>
      <c r="H391" s="57">
        <v>0.5</v>
      </c>
      <c r="I391" s="57">
        <v>0</v>
      </c>
      <c r="J391" s="24">
        <v>1026718.43</v>
      </c>
    </row>
    <row r="392" spans="1:10" ht="25.5" x14ac:dyDescent="0.25">
      <c r="A392" s="20">
        <v>392</v>
      </c>
      <c r="B392" s="21">
        <v>45959</v>
      </c>
      <c r="C392" s="20" t="s">
        <v>383</v>
      </c>
      <c r="D392" s="20" t="s">
        <v>759</v>
      </c>
      <c r="E392" s="20"/>
      <c r="F392" s="22" t="s">
        <v>774</v>
      </c>
      <c r="G392" s="23" t="s">
        <v>462</v>
      </c>
      <c r="H392" s="57">
        <v>9.5</v>
      </c>
      <c r="I392" s="57">
        <v>0</v>
      </c>
      <c r="J392" s="24">
        <v>76718.429999999993</v>
      </c>
    </row>
    <row r="393" spans="1:10" ht="25.5" x14ac:dyDescent="0.25">
      <c r="A393" s="20">
        <v>393</v>
      </c>
      <c r="B393" s="21">
        <v>45959</v>
      </c>
      <c r="C393" s="20" t="s">
        <v>383</v>
      </c>
      <c r="D393" s="20" t="s">
        <v>497</v>
      </c>
      <c r="E393" s="20"/>
      <c r="F393" s="22" t="s">
        <v>801</v>
      </c>
      <c r="G393" s="23" t="s">
        <v>463</v>
      </c>
      <c r="H393" s="57">
        <v>0</v>
      </c>
      <c r="I393" s="57">
        <v>3</v>
      </c>
      <c r="J393" s="24">
        <v>376718.43</v>
      </c>
    </row>
    <row r="394" spans="1:10" ht="25.5" x14ac:dyDescent="0.25">
      <c r="A394" s="20">
        <v>394</v>
      </c>
      <c r="B394" s="21">
        <v>45960</v>
      </c>
      <c r="C394" s="20" t="s">
        <v>383</v>
      </c>
      <c r="D394" s="20" t="s">
        <v>497</v>
      </c>
      <c r="E394" s="20"/>
      <c r="F394" s="22" t="s">
        <v>801</v>
      </c>
      <c r="G394" s="23" t="s">
        <v>464</v>
      </c>
      <c r="H394" s="57">
        <v>0</v>
      </c>
      <c r="I394" s="57">
        <v>2</v>
      </c>
      <c r="J394" s="24">
        <v>576718.43000000005</v>
      </c>
    </row>
    <row r="395" spans="1:10" x14ac:dyDescent="0.25">
      <c r="A395" s="20">
        <v>395</v>
      </c>
      <c r="B395" s="21">
        <v>45960</v>
      </c>
      <c r="C395" s="20" t="s">
        <v>383</v>
      </c>
      <c r="D395" s="20" t="s">
        <v>497</v>
      </c>
      <c r="E395" s="20"/>
      <c r="F395" s="22" t="s">
        <v>797</v>
      </c>
      <c r="G395" s="23" t="s">
        <v>465</v>
      </c>
      <c r="H395" s="57">
        <v>0</v>
      </c>
      <c r="I395" s="57">
        <v>5.9612400000000001</v>
      </c>
      <c r="J395" s="24">
        <v>1172842.43</v>
      </c>
    </row>
    <row r="396" spans="1:10" ht="25.5" x14ac:dyDescent="0.25">
      <c r="A396" s="20">
        <v>396</v>
      </c>
      <c r="B396" s="21">
        <v>45960</v>
      </c>
      <c r="C396" s="20" t="s">
        <v>383</v>
      </c>
      <c r="D396" s="20" t="s">
        <v>759</v>
      </c>
      <c r="E396" s="20"/>
      <c r="F396" s="22" t="s">
        <v>774</v>
      </c>
      <c r="G396" s="23" t="s">
        <v>466</v>
      </c>
      <c r="H396" s="57">
        <v>10.5</v>
      </c>
      <c r="I396" s="57">
        <v>0</v>
      </c>
      <c r="J396" s="24">
        <v>122842.43</v>
      </c>
    </row>
    <row r="397" spans="1:10" x14ac:dyDescent="0.25">
      <c r="A397" s="20">
        <v>397</v>
      </c>
      <c r="B397" s="21">
        <v>45960</v>
      </c>
      <c r="C397" s="20" t="s">
        <v>383</v>
      </c>
      <c r="D397" s="25" t="s">
        <v>759</v>
      </c>
      <c r="E397" s="20"/>
      <c r="F397" s="22" t="s">
        <v>769</v>
      </c>
      <c r="G397" s="23" t="s">
        <v>467</v>
      </c>
      <c r="H397" s="57">
        <v>0.5</v>
      </c>
      <c r="I397" s="57">
        <v>0</v>
      </c>
      <c r="J397" s="24">
        <v>72842.429999999993</v>
      </c>
    </row>
    <row r="398" spans="1:10" x14ac:dyDescent="0.25">
      <c r="A398" s="20">
        <v>398</v>
      </c>
      <c r="B398" s="21">
        <v>45960</v>
      </c>
      <c r="C398" s="20" t="s">
        <v>383</v>
      </c>
      <c r="D398" s="20" t="s">
        <v>497</v>
      </c>
      <c r="E398" s="20"/>
      <c r="F398" s="22" t="s">
        <v>797</v>
      </c>
      <c r="G398" s="23" t="s">
        <v>468</v>
      </c>
      <c r="H398" s="57">
        <v>0</v>
      </c>
      <c r="I398" s="57">
        <v>10</v>
      </c>
      <c r="J398" s="24">
        <v>1072842.43</v>
      </c>
    </row>
    <row r="399" spans="1:10" x14ac:dyDescent="0.25">
      <c r="A399" s="20">
        <v>399</v>
      </c>
      <c r="B399" s="21">
        <v>45960</v>
      </c>
      <c r="C399" s="20" t="s">
        <v>383</v>
      </c>
      <c r="D399" s="22" t="s">
        <v>469</v>
      </c>
      <c r="E399" s="20"/>
      <c r="F399" s="22" t="s">
        <v>469</v>
      </c>
      <c r="G399" s="23" t="s">
        <v>470</v>
      </c>
      <c r="H399" s="57">
        <v>0.22983390000000001</v>
      </c>
      <c r="I399" s="57">
        <v>0</v>
      </c>
      <c r="J399" s="24">
        <v>1049859.04</v>
      </c>
    </row>
    <row r="400" spans="1:10" ht="25.5" x14ac:dyDescent="0.25">
      <c r="A400" s="20">
        <v>400</v>
      </c>
      <c r="B400" s="21">
        <v>45961</v>
      </c>
      <c r="C400" s="20" t="s">
        <v>383</v>
      </c>
      <c r="D400" s="20" t="s">
        <v>759</v>
      </c>
      <c r="E400" s="20"/>
      <c r="F400" s="22" t="s">
        <v>774</v>
      </c>
      <c r="G400" s="23" t="s">
        <v>471</v>
      </c>
      <c r="H400" s="57">
        <v>10</v>
      </c>
      <c r="I400" s="57">
        <v>0</v>
      </c>
      <c r="J400" s="24">
        <v>49859.040000000001</v>
      </c>
    </row>
    <row r="401" spans="1:10" x14ac:dyDescent="0.25">
      <c r="A401" s="20">
        <v>401</v>
      </c>
      <c r="B401" s="21">
        <v>45961</v>
      </c>
      <c r="C401" s="20" t="s">
        <v>383</v>
      </c>
      <c r="D401" s="20" t="s">
        <v>497</v>
      </c>
      <c r="E401" s="20"/>
      <c r="F401" s="22" t="s">
        <v>801</v>
      </c>
      <c r="G401" s="23" t="s">
        <v>472</v>
      </c>
      <c r="H401" s="57">
        <v>0</v>
      </c>
      <c r="I401" s="57">
        <v>3</v>
      </c>
      <c r="J401" s="24">
        <v>349859.04</v>
      </c>
    </row>
    <row r="402" spans="1:10" x14ac:dyDescent="0.25">
      <c r="A402" s="20">
        <v>402</v>
      </c>
      <c r="B402" s="21">
        <v>45961</v>
      </c>
      <c r="C402" s="20" t="s">
        <v>383</v>
      </c>
      <c r="D402" s="20" t="s">
        <v>140</v>
      </c>
      <c r="E402" s="20"/>
      <c r="F402" s="22" t="s">
        <v>141</v>
      </c>
      <c r="G402" s="23" t="s">
        <v>473</v>
      </c>
      <c r="H402" s="57">
        <v>0.5</v>
      </c>
      <c r="I402" s="57">
        <v>0</v>
      </c>
      <c r="J402" s="24">
        <v>299859.03999999998</v>
      </c>
    </row>
    <row r="403" spans="1:10" x14ac:dyDescent="0.25">
      <c r="A403" s="20">
        <v>403</v>
      </c>
      <c r="B403" s="21">
        <v>45962</v>
      </c>
      <c r="C403" s="20" t="s">
        <v>474</v>
      </c>
      <c r="D403" s="20" t="s">
        <v>91</v>
      </c>
      <c r="E403" s="20"/>
      <c r="F403" s="22" t="s">
        <v>92</v>
      </c>
      <c r="G403" s="23" t="s">
        <v>180</v>
      </c>
      <c r="H403" s="57">
        <v>0</v>
      </c>
      <c r="I403" s="57">
        <v>16.5</v>
      </c>
      <c r="J403" s="24">
        <v>1949859.04</v>
      </c>
    </row>
    <row r="404" spans="1:10" x14ac:dyDescent="0.25">
      <c r="A404" s="20">
        <v>404</v>
      </c>
      <c r="B404" s="21">
        <v>45962</v>
      </c>
      <c r="C404" s="20" t="s">
        <v>474</v>
      </c>
      <c r="D404" s="20" t="s">
        <v>759</v>
      </c>
      <c r="E404" s="20"/>
      <c r="F404" s="22" t="s">
        <v>778</v>
      </c>
      <c r="G404" s="23" t="s">
        <v>475</v>
      </c>
      <c r="H404" s="57">
        <v>19</v>
      </c>
      <c r="I404" s="57">
        <v>0</v>
      </c>
      <c r="J404" s="24">
        <v>49859.040000000001</v>
      </c>
    </row>
    <row r="405" spans="1:10" ht="25.5" x14ac:dyDescent="0.25">
      <c r="A405" s="20">
        <v>405</v>
      </c>
      <c r="B405" s="21">
        <v>45963</v>
      </c>
      <c r="C405" s="20" t="s">
        <v>474</v>
      </c>
      <c r="D405" s="20" t="s">
        <v>497</v>
      </c>
      <c r="E405" s="20"/>
      <c r="F405" s="22" t="s">
        <v>801</v>
      </c>
      <c r="G405" s="23" t="s">
        <v>476</v>
      </c>
      <c r="H405" s="57">
        <v>0</v>
      </c>
      <c r="I405" s="57">
        <v>3</v>
      </c>
      <c r="J405" s="24">
        <v>349859.04</v>
      </c>
    </row>
    <row r="406" spans="1:10" x14ac:dyDescent="0.25">
      <c r="A406" s="20">
        <v>406</v>
      </c>
      <c r="B406" s="21">
        <v>45964</v>
      </c>
      <c r="C406" s="20" t="s">
        <v>474</v>
      </c>
      <c r="D406" s="20" t="s">
        <v>787</v>
      </c>
      <c r="E406" s="20">
        <v>1544193</v>
      </c>
      <c r="F406" s="22" t="s">
        <v>763</v>
      </c>
      <c r="G406" s="23" t="s">
        <v>477</v>
      </c>
      <c r="H406" s="57">
        <v>1.1299999999999999</v>
      </c>
      <c r="I406" s="57">
        <v>0</v>
      </c>
      <c r="J406" s="24">
        <v>236859.04</v>
      </c>
    </row>
    <row r="407" spans="1:10" x14ac:dyDescent="0.25">
      <c r="A407" s="20">
        <v>407</v>
      </c>
      <c r="B407" s="21">
        <v>45964</v>
      </c>
      <c r="C407" s="20" t="s">
        <v>474</v>
      </c>
      <c r="D407" s="20" t="s">
        <v>91</v>
      </c>
      <c r="E407" s="20"/>
      <c r="F407" s="22" t="s">
        <v>92</v>
      </c>
      <c r="G407" s="23" t="s">
        <v>180</v>
      </c>
      <c r="H407" s="57">
        <v>0</v>
      </c>
      <c r="I407" s="57">
        <v>7.5</v>
      </c>
      <c r="J407" s="24">
        <v>986859.04</v>
      </c>
    </row>
    <row r="408" spans="1:10" x14ac:dyDescent="0.25">
      <c r="A408" s="20">
        <v>408</v>
      </c>
      <c r="B408" s="21">
        <v>45964</v>
      </c>
      <c r="C408" s="20" t="s">
        <v>474</v>
      </c>
      <c r="D408" s="20" t="s">
        <v>759</v>
      </c>
      <c r="E408" s="20"/>
      <c r="F408" s="22" t="s">
        <v>778</v>
      </c>
      <c r="G408" s="23" t="s">
        <v>478</v>
      </c>
      <c r="H408" s="57">
        <v>9.5</v>
      </c>
      <c r="I408" s="57">
        <v>0</v>
      </c>
      <c r="J408" s="24">
        <v>36859.040000000001</v>
      </c>
    </row>
    <row r="409" spans="1:10" x14ac:dyDescent="0.25">
      <c r="A409" s="20">
        <v>409</v>
      </c>
      <c r="B409" s="21">
        <v>45964</v>
      </c>
      <c r="C409" s="20" t="s">
        <v>474</v>
      </c>
      <c r="D409" s="20" t="s">
        <v>497</v>
      </c>
      <c r="E409" s="20"/>
      <c r="F409" s="22" t="s">
        <v>797</v>
      </c>
      <c r="G409" s="23" t="s">
        <v>479</v>
      </c>
      <c r="H409" s="57">
        <v>0</v>
      </c>
      <c r="I409" s="57">
        <v>5.8226800000000001</v>
      </c>
      <c r="J409" s="24">
        <v>619127.04000000004</v>
      </c>
    </row>
    <row r="410" spans="1:10" x14ac:dyDescent="0.25">
      <c r="A410" s="20">
        <v>410</v>
      </c>
      <c r="B410" s="21">
        <v>45964</v>
      </c>
      <c r="C410" s="20" t="s">
        <v>474</v>
      </c>
      <c r="D410" s="20" t="s">
        <v>759</v>
      </c>
      <c r="E410" s="20"/>
      <c r="F410" s="22" t="s">
        <v>778</v>
      </c>
      <c r="G410" s="23" t="s">
        <v>480</v>
      </c>
      <c r="H410" s="57">
        <v>6</v>
      </c>
      <c r="I410" s="57">
        <v>0</v>
      </c>
      <c r="J410" s="24">
        <v>19127.04</v>
      </c>
    </row>
    <row r="411" spans="1:10" x14ac:dyDescent="0.25">
      <c r="A411" s="20">
        <v>411</v>
      </c>
      <c r="B411" s="21">
        <v>45965</v>
      </c>
      <c r="C411" s="20" t="s">
        <v>474</v>
      </c>
      <c r="D411" s="20" t="s">
        <v>497</v>
      </c>
      <c r="E411" s="20"/>
      <c r="F411" s="22" t="s">
        <v>797</v>
      </c>
      <c r="G411" s="23" t="s">
        <v>481</v>
      </c>
      <c r="H411" s="57">
        <v>0</v>
      </c>
      <c r="I411" s="57">
        <v>17.20129</v>
      </c>
      <c r="J411" s="24">
        <v>1739256.04</v>
      </c>
    </row>
    <row r="412" spans="1:10" x14ac:dyDescent="0.25">
      <c r="A412" s="20">
        <v>412</v>
      </c>
      <c r="B412" s="21">
        <v>45965</v>
      </c>
      <c r="C412" s="20" t="s">
        <v>474</v>
      </c>
      <c r="D412" s="20" t="s">
        <v>759</v>
      </c>
      <c r="E412" s="20"/>
      <c r="F412" s="22" t="s">
        <v>778</v>
      </c>
      <c r="G412" s="23" t="s">
        <v>482</v>
      </c>
      <c r="H412" s="57">
        <v>14</v>
      </c>
      <c r="I412" s="57">
        <v>0</v>
      </c>
      <c r="J412" s="24">
        <v>339256.04</v>
      </c>
    </row>
    <row r="413" spans="1:10" ht="25.5" x14ac:dyDescent="0.25">
      <c r="A413" s="20">
        <v>413</v>
      </c>
      <c r="B413" s="21">
        <v>45965</v>
      </c>
      <c r="C413" s="20" t="s">
        <v>474</v>
      </c>
      <c r="D413" s="20" t="s">
        <v>497</v>
      </c>
      <c r="E413" s="20"/>
      <c r="F413" s="22" t="s">
        <v>801</v>
      </c>
      <c r="G413" s="23" t="s">
        <v>483</v>
      </c>
      <c r="H413" s="57">
        <v>0</v>
      </c>
      <c r="I413" s="57">
        <v>3</v>
      </c>
      <c r="J413" s="24">
        <v>639256.04</v>
      </c>
    </row>
    <row r="414" spans="1:10" ht="25.5" x14ac:dyDescent="0.25">
      <c r="A414" s="20">
        <v>414</v>
      </c>
      <c r="B414" s="21">
        <v>45965</v>
      </c>
      <c r="C414" s="20" t="s">
        <v>474</v>
      </c>
      <c r="D414" s="20" t="s">
        <v>759</v>
      </c>
      <c r="E414" s="20"/>
      <c r="F414" s="22" t="s">
        <v>777</v>
      </c>
      <c r="G414" s="23" t="s">
        <v>484</v>
      </c>
      <c r="H414" s="57">
        <v>0.5</v>
      </c>
      <c r="I414" s="57">
        <v>0</v>
      </c>
      <c r="J414" s="24">
        <v>589256.04</v>
      </c>
    </row>
    <row r="415" spans="1:10" ht="25.5" x14ac:dyDescent="0.25">
      <c r="A415" s="20">
        <v>415</v>
      </c>
      <c r="B415" s="21">
        <v>45965</v>
      </c>
      <c r="C415" s="20" t="s">
        <v>474</v>
      </c>
      <c r="D415" s="20" t="s">
        <v>759</v>
      </c>
      <c r="E415" s="20"/>
      <c r="F415" s="22" t="s">
        <v>768</v>
      </c>
      <c r="G415" s="23" t="s">
        <v>485</v>
      </c>
      <c r="H415" s="57">
        <v>0.5</v>
      </c>
      <c r="I415" s="57">
        <v>0</v>
      </c>
      <c r="J415" s="24">
        <v>539256.04</v>
      </c>
    </row>
    <row r="416" spans="1:10" x14ac:dyDescent="0.25">
      <c r="A416" s="20">
        <v>416</v>
      </c>
      <c r="B416" s="21">
        <v>45965</v>
      </c>
      <c r="C416" s="20" t="s">
        <v>474</v>
      </c>
      <c r="D416" s="20" t="s">
        <v>759</v>
      </c>
      <c r="E416" s="20"/>
      <c r="F416" s="22" t="s">
        <v>783</v>
      </c>
      <c r="G416" s="23" t="s">
        <v>486</v>
      </c>
      <c r="H416" s="57">
        <v>0.4</v>
      </c>
      <c r="I416" s="57">
        <v>0</v>
      </c>
      <c r="J416" s="24">
        <v>499256.04</v>
      </c>
    </row>
    <row r="417" spans="1:10" ht="25.5" x14ac:dyDescent="0.25">
      <c r="A417" s="20">
        <v>417</v>
      </c>
      <c r="B417" s="21">
        <v>45965</v>
      </c>
      <c r="C417" s="20" t="s">
        <v>474</v>
      </c>
      <c r="D417" s="20" t="s">
        <v>759</v>
      </c>
      <c r="E417" s="20"/>
      <c r="F417" s="22" t="s">
        <v>762</v>
      </c>
      <c r="G417" s="23" t="s">
        <v>487</v>
      </c>
      <c r="H417" s="57">
        <v>1</v>
      </c>
      <c r="I417" s="57">
        <v>0</v>
      </c>
      <c r="J417" s="24">
        <v>399256.04</v>
      </c>
    </row>
    <row r="418" spans="1:10" ht="25.5" x14ac:dyDescent="0.25">
      <c r="A418" s="20">
        <v>418</v>
      </c>
      <c r="B418" s="21">
        <v>45965</v>
      </c>
      <c r="C418" s="20" t="s">
        <v>474</v>
      </c>
      <c r="D418" s="20" t="s">
        <v>497</v>
      </c>
      <c r="E418" s="20"/>
      <c r="F418" s="22" t="s">
        <v>801</v>
      </c>
      <c r="G418" s="23" t="s">
        <v>488</v>
      </c>
      <c r="H418" s="57">
        <v>0</v>
      </c>
      <c r="I418" s="57">
        <v>2</v>
      </c>
      <c r="J418" s="24">
        <v>599256.04</v>
      </c>
    </row>
    <row r="419" spans="1:10" x14ac:dyDescent="0.25">
      <c r="A419" s="20">
        <v>419</v>
      </c>
      <c r="B419" s="21">
        <v>45966</v>
      </c>
      <c r="C419" s="20" t="s">
        <v>474</v>
      </c>
      <c r="D419" s="20" t="s">
        <v>91</v>
      </c>
      <c r="E419" s="20"/>
      <c r="F419" s="22" t="s">
        <v>92</v>
      </c>
      <c r="G419" s="23" t="s">
        <v>489</v>
      </c>
      <c r="H419" s="57">
        <v>4.5</v>
      </c>
      <c r="I419" s="57">
        <v>0</v>
      </c>
      <c r="J419" s="24">
        <v>149256.04</v>
      </c>
    </row>
    <row r="420" spans="1:10" x14ac:dyDescent="0.25">
      <c r="A420" s="20">
        <v>420</v>
      </c>
      <c r="B420" s="21">
        <v>45966</v>
      </c>
      <c r="C420" s="20" t="s">
        <v>474</v>
      </c>
      <c r="D420" s="20" t="s">
        <v>497</v>
      </c>
      <c r="E420" s="20"/>
      <c r="F420" s="22" t="s">
        <v>797</v>
      </c>
      <c r="G420" s="23" t="s">
        <v>490</v>
      </c>
      <c r="H420" s="57">
        <v>0</v>
      </c>
      <c r="I420" s="57">
        <v>14.381180000000001</v>
      </c>
      <c r="J420" s="24">
        <v>1587374.04</v>
      </c>
    </row>
    <row r="421" spans="1:10" x14ac:dyDescent="0.25">
      <c r="A421" s="20">
        <v>421</v>
      </c>
      <c r="B421" s="21">
        <v>45966</v>
      </c>
      <c r="C421" s="20" t="s">
        <v>474</v>
      </c>
      <c r="D421" s="20" t="s">
        <v>759</v>
      </c>
      <c r="E421" s="20"/>
      <c r="F421" s="22" t="s">
        <v>778</v>
      </c>
      <c r="G421" s="23" t="s">
        <v>491</v>
      </c>
      <c r="H421" s="57">
        <v>3.40998</v>
      </c>
      <c r="I421" s="57">
        <v>0</v>
      </c>
      <c r="J421" s="24">
        <v>1246376.04</v>
      </c>
    </row>
    <row r="422" spans="1:10" x14ac:dyDescent="0.25">
      <c r="A422" s="20">
        <v>422</v>
      </c>
      <c r="B422" s="21">
        <v>45966</v>
      </c>
      <c r="C422" s="20" t="s">
        <v>474</v>
      </c>
      <c r="D422" s="20" t="s">
        <v>759</v>
      </c>
      <c r="E422" s="20"/>
      <c r="F422" s="22" t="s">
        <v>778</v>
      </c>
      <c r="G422" s="23" t="s">
        <v>492</v>
      </c>
      <c r="H422" s="57">
        <v>12</v>
      </c>
      <c r="I422" s="57">
        <v>0</v>
      </c>
      <c r="J422" s="24">
        <v>46376.04</v>
      </c>
    </row>
    <row r="423" spans="1:10" ht="25.5" x14ac:dyDescent="0.25">
      <c r="A423" s="20">
        <v>423</v>
      </c>
      <c r="B423" s="21">
        <v>45966</v>
      </c>
      <c r="C423" s="20" t="s">
        <v>474</v>
      </c>
      <c r="D423" s="20" t="s">
        <v>91</v>
      </c>
      <c r="E423" s="20"/>
      <c r="F423" s="22" t="s">
        <v>92</v>
      </c>
      <c r="G423" s="23" t="s">
        <v>101</v>
      </c>
      <c r="H423" s="57">
        <v>0</v>
      </c>
      <c r="I423" s="57">
        <v>4.5</v>
      </c>
      <c r="J423" s="24">
        <v>496376.04</v>
      </c>
    </row>
    <row r="424" spans="1:10" x14ac:dyDescent="0.25">
      <c r="A424" s="20">
        <v>424</v>
      </c>
      <c r="B424" s="21">
        <v>45966</v>
      </c>
      <c r="C424" s="20" t="s">
        <v>474</v>
      </c>
      <c r="D424" s="25" t="s">
        <v>759</v>
      </c>
      <c r="E424" s="20"/>
      <c r="F424" s="22" t="s">
        <v>773</v>
      </c>
      <c r="G424" s="23" t="s">
        <v>493</v>
      </c>
      <c r="H424" s="57">
        <v>1.8757999999999999</v>
      </c>
      <c r="I424" s="57">
        <v>0</v>
      </c>
      <c r="J424" s="24">
        <v>308796.03999999998</v>
      </c>
    </row>
    <row r="425" spans="1:10" x14ac:dyDescent="0.25">
      <c r="A425" s="20">
        <v>425</v>
      </c>
      <c r="B425" s="21">
        <v>45966</v>
      </c>
      <c r="C425" s="20" t="s">
        <v>474</v>
      </c>
      <c r="D425" s="25" t="s">
        <v>759</v>
      </c>
      <c r="E425" s="20"/>
      <c r="F425" s="22" t="s">
        <v>776</v>
      </c>
      <c r="G425" s="23" t="s">
        <v>494</v>
      </c>
      <c r="H425" s="57">
        <v>1.3656999999999999</v>
      </c>
      <c r="I425" s="57">
        <v>0</v>
      </c>
      <c r="J425" s="24">
        <v>172226.04</v>
      </c>
    </row>
    <row r="426" spans="1:10" x14ac:dyDescent="0.25">
      <c r="A426" s="20">
        <v>426</v>
      </c>
      <c r="B426" s="21">
        <v>45966</v>
      </c>
      <c r="C426" s="20" t="s">
        <v>474</v>
      </c>
      <c r="D426" s="20" t="s">
        <v>759</v>
      </c>
      <c r="E426" s="20"/>
      <c r="F426" s="22" t="s">
        <v>766</v>
      </c>
      <c r="G426" s="23" t="s">
        <v>495</v>
      </c>
      <c r="H426" s="57">
        <v>0.71926000000000001</v>
      </c>
      <c r="I426" s="57">
        <v>0</v>
      </c>
      <c r="J426" s="24">
        <v>100300.04</v>
      </c>
    </row>
    <row r="427" spans="1:10" x14ac:dyDescent="0.25">
      <c r="A427" s="20">
        <v>427</v>
      </c>
      <c r="B427" s="21">
        <v>45966</v>
      </c>
      <c r="C427" s="20" t="s">
        <v>474</v>
      </c>
      <c r="D427" s="25" t="s">
        <v>759</v>
      </c>
      <c r="E427" s="20"/>
      <c r="F427" s="22" t="s">
        <v>769</v>
      </c>
      <c r="G427" s="23" t="s">
        <v>496</v>
      </c>
      <c r="H427" s="57">
        <v>0.46399000000000001</v>
      </c>
      <c r="I427" s="57">
        <v>0</v>
      </c>
      <c r="J427" s="24">
        <v>53901.04</v>
      </c>
    </row>
    <row r="428" spans="1:10" x14ac:dyDescent="0.25">
      <c r="A428" s="20">
        <v>428</v>
      </c>
      <c r="B428" s="21">
        <v>45967</v>
      </c>
      <c r="C428" s="20" t="s">
        <v>474</v>
      </c>
      <c r="D428" s="20" t="s">
        <v>497</v>
      </c>
      <c r="E428" s="20"/>
      <c r="F428" s="22" t="s">
        <v>498</v>
      </c>
      <c r="G428" s="23" t="s">
        <v>499</v>
      </c>
      <c r="H428" s="57">
        <v>0</v>
      </c>
      <c r="I428" s="57">
        <v>10</v>
      </c>
      <c r="J428" s="24">
        <v>1053901.04</v>
      </c>
    </row>
    <row r="429" spans="1:10" x14ac:dyDescent="0.25">
      <c r="A429" s="20">
        <v>429</v>
      </c>
      <c r="B429" s="21">
        <v>45967</v>
      </c>
      <c r="C429" s="20" t="s">
        <v>474</v>
      </c>
      <c r="D429" s="20" t="s">
        <v>91</v>
      </c>
      <c r="E429" s="20"/>
      <c r="F429" s="22" t="s">
        <v>92</v>
      </c>
      <c r="G429" s="23" t="s">
        <v>500</v>
      </c>
      <c r="H429" s="57">
        <v>10</v>
      </c>
      <c r="I429" s="57">
        <v>0</v>
      </c>
      <c r="J429" s="24">
        <v>53901.04</v>
      </c>
    </row>
    <row r="430" spans="1:10" ht="25.5" x14ac:dyDescent="0.25">
      <c r="A430" s="20">
        <v>430</v>
      </c>
      <c r="B430" s="21">
        <v>45967</v>
      </c>
      <c r="C430" s="20" t="s">
        <v>474</v>
      </c>
      <c r="D430" s="20" t="s">
        <v>497</v>
      </c>
      <c r="E430" s="20"/>
      <c r="F430" s="22" t="s">
        <v>801</v>
      </c>
      <c r="G430" s="23" t="s">
        <v>501</v>
      </c>
      <c r="H430" s="57">
        <v>0</v>
      </c>
      <c r="I430" s="57">
        <v>4</v>
      </c>
      <c r="J430" s="24">
        <v>453901.04</v>
      </c>
    </row>
    <row r="431" spans="1:10" x14ac:dyDescent="0.25">
      <c r="A431" s="20">
        <v>431</v>
      </c>
      <c r="B431" s="21">
        <v>45967</v>
      </c>
      <c r="C431" s="20" t="s">
        <v>474</v>
      </c>
      <c r="D431" s="20" t="s">
        <v>497</v>
      </c>
      <c r="E431" s="20"/>
      <c r="F431" s="22" t="s">
        <v>797</v>
      </c>
      <c r="G431" s="23" t="s">
        <v>502</v>
      </c>
      <c r="H431" s="57">
        <v>0</v>
      </c>
      <c r="I431" s="57">
        <v>11.59013</v>
      </c>
      <c r="J431" s="24">
        <v>1612914.04</v>
      </c>
    </row>
    <row r="432" spans="1:10" ht="25.5" x14ac:dyDescent="0.25">
      <c r="A432" s="20">
        <v>432</v>
      </c>
      <c r="B432" s="21">
        <v>45967</v>
      </c>
      <c r="C432" s="20" t="s">
        <v>474</v>
      </c>
      <c r="D432" s="20" t="s">
        <v>759</v>
      </c>
      <c r="E432" s="20"/>
      <c r="F432" s="22" t="s">
        <v>774</v>
      </c>
      <c r="G432" s="23" t="s">
        <v>503</v>
      </c>
      <c r="H432" s="57">
        <v>12</v>
      </c>
      <c r="I432" s="57">
        <v>0</v>
      </c>
      <c r="J432" s="24">
        <v>412914.04</v>
      </c>
    </row>
    <row r="433" spans="1:10" x14ac:dyDescent="0.25">
      <c r="A433" s="20">
        <v>433</v>
      </c>
      <c r="B433" s="21">
        <v>45967</v>
      </c>
      <c r="C433" s="20" t="s">
        <v>474</v>
      </c>
      <c r="D433" s="20" t="s">
        <v>746</v>
      </c>
      <c r="E433" s="20"/>
      <c r="F433" s="22" t="s">
        <v>757</v>
      </c>
      <c r="G433" s="23" t="s">
        <v>504</v>
      </c>
      <c r="H433" s="57">
        <v>0.14083999999999999</v>
      </c>
      <c r="I433" s="57">
        <v>0</v>
      </c>
      <c r="J433" s="24">
        <v>398830.04</v>
      </c>
    </row>
    <row r="434" spans="1:10" x14ac:dyDescent="0.25">
      <c r="A434" s="20">
        <v>434</v>
      </c>
      <c r="B434" s="21">
        <v>45967</v>
      </c>
      <c r="C434" s="20" t="s">
        <v>474</v>
      </c>
      <c r="D434" s="20" t="s">
        <v>746</v>
      </c>
      <c r="E434" s="20"/>
      <c r="F434" s="22" t="s">
        <v>757</v>
      </c>
      <c r="G434" s="23" t="s">
        <v>505</v>
      </c>
      <c r="H434" s="57">
        <v>3.4005899999999998</v>
      </c>
      <c r="I434" s="57">
        <v>0</v>
      </c>
      <c r="J434" s="24">
        <v>58771.040000000001</v>
      </c>
    </row>
    <row r="435" spans="1:10" x14ac:dyDescent="0.25">
      <c r="A435" s="20">
        <v>435</v>
      </c>
      <c r="B435" s="21">
        <v>45968</v>
      </c>
      <c r="C435" s="20" t="s">
        <v>474</v>
      </c>
      <c r="D435" s="20" t="s">
        <v>497</v>
      </c>
      <c r="E435" s="20"/>
      <c r="F435" s="22" t="s">
        <v>797</v>
      </c>
      <c r="G435" s="23" t="s">
        <v>506</v>
      </c>
      <c r="H435" s="57">
        <v>0</v>
      </c>
      <c r="I435" s="57">
        <v>9.4664199999999994</v>
      </c>
      <c r="J435" s="24">
        <v>1005413.04</v>
      </c>
    </row>
    <row r="436" spans="1:10" ht="25.5" x14ac:dyDescent="0.25">
      <c r="A436" s="20">
        <v>436</v>
      </c>
      <c r="B436" s="21">
        <v>45968</v>
      </c>
      <c r="C436" s="20" t="s">
        <v>474</v>
      </c>
      <c r="D436" s="20" t="s">
        <v>91</v>
      </c>
      <c r="E436" s="20"/>
      <c r="F436" s="22" t="s">
        <v>92</v>
      </c>
      <c r="G436" s="23" t="s">
        <v>124</v>
      </c>
      <c r="H436" s="57">
        <v>1.65</v>
      </c>
      <c r="I436" s="57">
        <v>0</v>
      </c>
      <c r="J436" s="24">
        <v>840413.04</v>
      </c>
    </row>
    <row r="437" spans="1:10" ht="25.5" x14ac:dyDescent="0.25">
      <c r="A437" s="20">
        <v>437</v>
      </c>
      <c r="B437" s="21">
        <v>45968</v>
      </c>
      <c r="C437" s="20" t="s">
        <v>474</v>
      </c>
      <c r="D437" s="20" t="s">
        <v>759</v>
      </c>
      <c r="E437" s="20"/>
      <c r="F437" s="22" t="s">
        <v>765</v>
      </c>
      <c r="G437" s="23" t="s">
        <v>102</v>
      </c>
      <c r="H437" s="57">
        <v>0.13</v>
      </c>
      <c r="I437" s="57">
        <v>0</v>
      </c>
      <c r="J437" s="24">
        <v>827413.04</v>
      </c>
    </row>
    <row r="438" spans="1:10" ht="25.5" x14ac:dyDescent="0.25">
      <c r="A438" s="20">
        <v>438</v>
      </c>
      <c r="B438" s="21">
        <v>45968</v>
      </c>
      <c r="C438" s="20" t="s">
        <v>474</v>
      </c>
      <c r="D438" s="20" t="s">
        <v>497</v>
      </c>
      <c r="E438" s="20"/>
      <c r="F438" s="22" t="s">
        <v>801</v>
      </c>
      <c r="G438" s="23" t="s">
        <v>507</v>
      </c>
      <c r="H438" s="57">
        <v>0</v>
      </c>
      <c r="I438" s="57">
        <v>3</v>
      </c>
      <c r="J438" s="24">
        <v>1127413.04</v>
      </c>
    </row>
    <row r="439" spans="1:10" x14ac:dyDescent="0.25">
      <c r="A439" s="20">
        <v>439</v>
      </c>
      <c r="B439" s="21">
        <v>45968</v>
      </c>
      <c r="C439" s="20" t="s">
        <v>474</v>
      </c>
      <c r="D439" s="20" t="s">
        <v>746</v>
      </c>
      <c r="E439" s="20"/>
      <c r="F439" s="22" t="s">
        <v>125</v>
      </c>
      <c r="G439" s="23" t="s">
        <v>508</v>
      </c>
      <c r="H439" s="57">
        <v>4.16</v>
      </c>
      <c r="I439" s="57">
        <v>0</v>
      </c>
      <c r="J439" s="24">
        <v>711413.04</v>
      </c>
    </row>
    <row r="440" spans="1:10" x14ac:dyDescent="0.25">
      <c r="A440" s="20">
        <v>440</v>
      </c>
      <c r="B440" s="21">
        <v>45968</v>
      </c>
      <c r="C440" s="20" t="s">
        <v>474</v>
      </c>
      <c r="D440" s="20" t="s">
        <v>497</v>
      </c>
      <c r="E440" s="20"/>
      <c r="F440" s="22" t="s">
        <v>802</v>
      </c>
      <c r="G440" s="23" t="s">
        <v>509</v>
      </c>
      <c r="H440" s="57">
        <v>0</v>
      </c>
      <c r="I440" s="57">
        <v>25</v>
      </c>
      <c r="J440" s="24">
        <v>3211413.04</v>
      </c>
    </row>
    <row r="441" spans="1:10" x14ac:dyDescent="0.25">
      <c r="A441" s="20">
        <v>441</v>
      </c>
      <c r="B441" s="21">
        <v>45969</v>
      </c>
      <c r="C441" s="20" t="s">
        <v>474</v>
      </c>
      <c r="D441" s="20" t="s">
        <v>497</v>
      </c>
      <c r="E441" s="20"/>
      <c r="F441" s="22" t="s">
        <v>797</v>
      </c>
      <c r="G441" s="23" t="s">
        <v>510</v>
      </c>
      <c r="H441" s="57">
        <v>0</v>
      </c>
      <c r="I441" s="57">
        <v>9.1621799999999993</v>
      </c>
      <c r="J441" s="24">
        <v>4127631.04</v>
      </c>
    </row>
    <row r="442" spans="1:10" x14ac:dyDescent="0.25">
      <c r="A442" s="20">
        <v>442</v>
      </c>
      <c r="B442" s="21">
        <v>45971</v>
      </c>
      <c r="C442" s="20" t="s">
        <v>474</v>
      </c>
      <c r="D442" s="20" t="s">
        <v>759</v>
      </c>
      <c r="E442" s="20"/>
      <c r="F442" s="22" t="s">
        <v>778</v>
      </c>
      <c r="G442" s="23" t="s">
        <v>511</v>
      </c>
      <c r="H442" s="57">
        <v>30</v>
      </c>
      <c r="I442" s="57">
        <v>0</v>
      </c>
      <c r="J442" s="24">
        <v>1127631.04</v>
      </c>
    </row>
    <row r="443" spans="1:10" x14ac:dyDescent="0.25">
      <c r="A443" s="20">
        <v>443</v>
      </c>
      <c r="B443" s="21">
        <v>45971</v>
      </c>
      <c r="C443" s="20" t="s">
        <v>474</v>
      </c>
      <c r="D443" s="20" t="s">
        <v>140</v>
      </c>
      <c r="E443" s="20"/>
      <c r="F443" s="22" t="s">
        <v>141</v>
      </c>
      <c r="G443" s="23" t="s">
        <v>512</v>
      </c>
      <c r="H443" s="57">
        <v>3.5</v>
      </c>
      <c r="I443" s="57">
        <v>0</v>
      </c>
      <c r="J443" s="24">
        <v>777631.04</v>
      </c>
    </row>
    <row r="444" spans="1:10" x14ac:dyDescent="0.25">
      <c r="A444" s="20">
        <v>444</v>
      </c>
      <c r="B444" s="21">
        <v>45971</v>
      </c>
      <c r="C444" s="20" t="s">
        <v>474</v>
      </c>
      <c r="D444" s="20" t="s">
        <v>759</v>
      </c>
      <c r="E444" s="20"/>
      <c r="F444" s="22" t="s">
        <v>765</v>
      </c>
      <c r="G444" s="23" t="s">
        <v>513</v>
      </c>
      <c r="H444" s="57">
        <v>0.28999999999999998</v>
      </c>
      <c r="I444" s="57">
        <v>0</v>
      </c>
      <c r="J444" s="24">
        <v>748631.04000000004</v>
      </c>
    </row>
    <row r="445" spans="1:10" x14ac:dyDescent="0.25">
      <c r="A445" s="20">
        <v>445</v>
      </c>
      <c r="B445" s="21">
        <v>45971</v>
      </c>
      <c r="C445" s="20" t="s">
        <v>474</v>
      </c>
      <c r="D445" s="20" t="s">
        <v>759</v>
      </c>
      <c r="E445" s="20"/>
      <c r="F445" s="22" t="s">
        <v>765</v>
      </c>
      <c r="G445" s="23" t="s">
        <v>514</v>
      </c>
      <c r="H445" s="57">
        <v>0.57999999999999996</v>
      </c>
      <c r="I445" s="57">
        <v>0</v>
      </c>
      <c r="J445" s="24">
        <v>690631.04</v>
      </c>
    </row>
    <row r="446" spans="1:10" x14ac:dyDescent="0.25">
      <c r="A446" s="20">
        <v>446</v>
      </c>
      <c r="B446" s="21">
        <v>45971</v>
      </c>
      <c r="C446" s="20" t="s">
        <v>474</v>
      </c>
      <c r="D446" s="20" t="s">
        <v>91</v>
      </c>
      <c r="E446" s="20"/>
      <c r="F446" s="22" t="s">
        <v>92</v>
      </c>
      <c r="G446" s="23" t="s">
        <v>515</v>
      </c>
      <c r="H446" s="57">
        <v>0.5</v>
      </c>
      <c r="I446" s="57">
        <v>0</v>
      </c>
      <c r="J446" s="24">
        <v>640631.04000000004</v>
      </c>
    </row>
    <row r="447" spans="1:10" ht="25.5" x14ac:dyDescent="0.25">
      <c r="A447" s="20">
        <v>447</v>
      </c>
      <c r="B447" s="21">
        <v>45971</v>
      </c>
      <c r="C447" s="20" t="s">
        <v>474</v>
      </c>
      <c r="D447" s="20" t="s">
        <v>497</v>
      </c>
      <c r="E447" s="20"/>
      <c r="F447" s="22" t="s">
        <v>801</v>
      </c>
      <c r="G447" s="23" t="s">
        <v>516</v>
      </c>
      <c r="H447" s="57">
        <v>0</v>
      </c>
      <c r="I447" s="57">
        <v>4</v>
      </c>
      <c r="J447" s="24">
        <v>1040631.04</v>
      </c>
    </row>
    <row r="448" spans="1:10" x14ac:dyDescent="0.25">
      <c r="A448" s="20">
        <v>448</v>
      </c>
      <c r="B448" s="21">
        <v>45971</v>
      </c>
      <c r="C448" s="20" t="s">
        <v>474</v>
      </c>
      <c r="D448" s="20" t="s">
        <v>140</v>
      </c>
      <c r="E448" s="20"/>
      <c r="F448" s="22" t="s">
        <v>141</v>
      </c>
      <c r="G448" s="23" t="s">
        <v>517</v>
      </c>
      <c r="H448" s="57">
        <v>1.5</v>
      </c>
      <c r="I448" s="57">
        <v>0</v>
      </c>
      <c r="J448" s="24">
        <v>890631.04</v>
      </c>
    </row>
    <row r="449" spans="1:10" x14ac:dyDescent="0.25">
      <c r="A449" s="20">
        <v>449</v>
      </c>
      <c r="B449" s="21">
        <v>45971</v>
      </c>
      <c r="C449" s="20" t="s">
        <v>474</v>
      </c>
      <c r="D449" s="20" t="s">
        <v>787</v>
      </c>
      <c r="E449" s="20">
        <v>1544205</v>
      </c>
      <c r="F449" s="22" t="s">
        <v>790</v>
      </c>
      <c r="G449" s="23" t="s">
        <v>518</v>
      </c>
      <c r="H449" s="57">
        <v>1</v>
      </c>
      <c r="I449" s="57">
        <v>0</v>
      </c>
      <c r="J449" s="24">
        <v>790631.04</v>
      </c>
    </row>
    <row r="450" spans="1:10" ht="25.5" x14ac:dyDescent="0.25">
      <c r="A450" s="20">
        <v>450</v>
      </c>
      <c r="B450" s="21">
        <v>45971</v>
      </c>
      <c r="C450" s="20" t="s">
        <v>474</v>
      </c>
      <c r="D450" s="20" t="s">
        <v>759</v>
      </c>
      <c r="E450" s="20"/>
      <c r="F450" s="22" t="s">
        <v>784</v>
      </c>
      <c r="G450" s="23" t="s">
        <v>519</v>
      </c>
      <c r="H450" s="57">
        <v>0.66</v>
      </c>
      <c r="I450" s="57">
        <v>0</v>
      </c>
      <c r="J450" s="24">
        <v>724631.04000000004</v>
      </c>
    </row>
    <row r="451" spans="1:10" x14ac:dyDescent="0.25">
      <c r="A451" s="20">
        <v>451</v>
      </c>
      <c r="B451" s="21">
        <v>45972</v>
      </c>
      <c r="C451" s="20" t="s">
        <v>474</v>
      </c>
      <c r="D451" s="20" t="s">
        <v>759</v>
      </c>
      <c r="E451" s="20"/>
      <c r="F451" s="22" t="s">
        <v>778</v>
      </c>
      <c r="G451" s="23" t="s">
        <v>520</v>
      </c>
      <c r="H451" s="57">
        <v>7</v>
      </c>
      <c r="I451" s="57">
        <v>0</v>
      </c>
      <c r="J451" s="24">
        <v>24631.040000000001</v>
      </c>
    </row>
    <row r="452" spans="1:10" x14ac:dyDescent="0.25">
      <c r="A452" s="20">
        <v>452</v>
      </c>
      <c r="B452" s="21">
        <v>45972</v>
      </c>
      <c r="C452" s="20" t="s">
        <v>474</v>
      </c>
      <c r="D452" s="20" t="s">
        <v>497</v>
      </c>
      <c r="E452" s="20"/>
      <c r="F452" s="22" t="s">
        <v>797</v>
      </c>
      <c r="G452" s="23" t="s">
        <v>521</v>
      </c>
      <c r="H452" s="57">
        <v>0</v>
      </c>
      <c r="I452" s="57">
        <v>15.054410000000001</v>
      </c>
      <c r="J452" s="24">
        <v>1530072.04</v>
      </c>
    </row>
    <row r="453" spans="1:10" x14ac:dyDescent="0.25">
      <c r="A453" s="20">
        <v>453</v>
      </c>
      <c r="B453" s="21">
        <v>45972</v>
      </c>
      <c r="C453" s="20" t="s">
        <v>474</v>
      </c>
      <c r="D453" s="20" t="s">
        <v>759</v>
      </c>
      <c r="E453" s="20"/>
      <c r="F453" s="22" t="s">
        <v>778</v>
      </c>
      <c r="G453" s="23" t="s">
        <v>522</v>
      </c>
      <c r="H453" s="57">
        <v>14</v>
      </c>
      <c r="I453" s="57">
        <v>0</v>
      </c>
      <c r="J453" s="24">
        <v>130072.04</v>
      </c>
    </row>
    <row r="454" spans="1:10" x14ac:dyDescent="0.25">
      <c r="A454" s="20">
        <v>454</v>
      </c>
      <c r="B454" s="21">
        <v>45972</v>
      </c>
      <c r="C454" s="20" t="s">
        <v>474</v>
      </c>
      <c r="D454" s="20" t="s">
        <v>140</v>
      </c>
      <c r="E454" s="20"/>
      <c r="F454" s="22" t="s">
        <v>141</v>
      </c>
      <c r="G454" s="23" t="s">
        <v>523</v>
      </c>
      <c r="H454" s="57">
        <v>0.5</v>
      </c>
      <c r="I454" s="57">
        <v>0</v>
      </c>
      <c r="J454" s="24">
        <v>80072.039999999994</v>
      </c>
    </row>
    <row r="455" spans="1:10" ht="25.5" x14ac:dyDescent="0.25">
      <c r="A455" s="20">
        <v>455</v>
      </c>
      <c r="B455" s="21">
        <v>45972</v>
      </c>
      <c r="C455" s="20" t="s">
        <v>474</v>
      </c>
      <c r="D455" s="20" t="s">
        <v>759</v>
      </c>
      <c r="E455" s="20"/>
      <c r="F455" s="22" t="s">
        <v>770</v>
      </c>
      <c r="G455" s="23" t="s">
        <v>524</v>
      </c>
      <c r="H455" s="57">
        <v>0.625</v>
      </c>
      <c r="I455" s="57">
        <v>0</v>
      </c>
      <c r="J455" s="24">
        <v>17572.04</v>
      </c>
    </row>
    <row r="456" spans="1:10" x14ac:dyDescent="0.25">
      <c r="A456" s="20">
        <v>456</v>
      </c>
      <c r="B456" s="21">
        <v>45973</v>
      </c>
      <c r="C456" s="20" t="s">
        <v>474</v>
      </c>
      <c r="D456" s="20" t="s">
        <v>752</v>
      </c>
      <c r="E456" s="20"/>
      <c r="F456" s="22" t="s">
        <v>753</v>
      </c>
      <c r="G456" s="23" t="s">
        <v>146</v>
      </c>
      <c r="H456" s="57">
        <v>0.1757204</v>
      </c>
      <c r="I456" s="57">
        <v>0</v>
      </c>
      <c r="J456" s="24">
        <v>0</v>
      </c>
    </row>
    <row r="457" spans="1:10" ht="25.5" x14ac:dyDescent="0.25">
      <c r="A457" s="20">
        <v>457</v>
      </c>
      <c r="B457" s="21">
        <v>45973</v>
      </c>
      <c r="C457" s="20" t="s">
        <v>474</v>
      </c>
      <c r="D457" s="20" t="s">
        <v>497</v>
      </c>
      <c r="E457" s="20"/>
      <c r="F457" s="22" t="s">
        <v>801</v>
      </c>
      <c r="G457" s="23" t="s">
        <v>525</v>
      </c>
      <c r="H457" s="57">
        <v>0</v>
      </c>
      <c r="I457" s="57">
        <v>2.5</v>
      </c>
      <c r="J457" s="24">
        <v>250000</v>
      </c>
    </row>
    <row r="458" spans="1:10" x14ac:dyDescent="0.25">
      <c r="A458" s="20">
        <v>458</v>
      </c>
      <c r="B458" s="21">
        <v>45973</v>
      </c>
      <c r="C458" s="20" t="s">
        <v>474</v>
      </c>
      <c r="D458" s="20" t="s">
        <v>91</v>
      </c>
      <c r="E458" s="20"/>
      <c r="F458" s="22" t="s">
        <v>92</v>
      </c>
      <c r="G458" s="23" t="s">
        <v>280</v>
      </c>
      <c r="H458" s="57">
        <v>0</v>
      </c>
      <c r="I458" s="57">
        <v>10</v>
      </c>
      <c r="J458" s="24">
        <v>1250000</v>
      </c>
    </row>
    <row r="459" spans="1:10" x14ac:dyDescent="0.25">
      <c r="A459" s="20">
        <v>459</v>
      </c>
      <c r="B459" s="21">
        <v>45973</v>
      </c>
      <c r="C459" s="20" t="s">
        <v>474</v>
      </c>
      <c r="D459" s="20" t="s">
        <v>759</v>
      </c>
      <c r="E459" s="20"/>
      <c r="F459" s="22" t="s">
        <v>778</v>
      </c>
      <c r="G459" s="23" t="s">
        <v>526</v>
      </c>
      <c r="H459" s="57">
        <v>12</v>
      </c>
      <c r="I459" s="57">
        <v>0</v>
      </c>
      <c r="J459" s="24">
        <v>50000</v>
      </c>
    </row>
    <row r="460" spans="1:10" x14ac:dyDescent="0.25">
      <c r="A460" s="20">
        <v>460</v>
      </c>
      <c r="B460" s="21">
        <v>45973</v>
      </c>
      <c r="C460" s="20" t="s">
        <v>474</v>
      </c>
      <c r="D460" s="20" t="s">
        <v>752</v>
      </c>
      <c r="E460" s="20"/>
      <c r="F460" s="22" t="s">
        <v>753</v>
      </c>
      <c r="G460" s="23" t="s">
        <v>146</v>
      </c>
      <c r="H460" s="57">
        <v>0.2443196</v>
      </c>
      <c r="I460" s="57">
        <v>0</v>
      </c>
      <c r="J460" s="24">
        <v>25568.04</v>
      </c>
    </row>
    <row r="461" spans="1:10" ht="25.5" x14ac:dyDescent="0.25">
      <c r="A461" s="20">
        <v>461</v>
      </c>
      <c r="B461" s="21">
        <v>45974</v>
      </c>
      <c r="C461" s="20" t="s">
        <v>474</v>
      </c>
      <c r="D461" s="20" t="s">
        <v>91</v>
      </c>
      <c r="E461" s="20"/>
      <c r="F461" s="22" t="s">
        <v>92</v>
      </c>
      <c r="G461" s="23" t="s">
        <v>101</v>
      </c>
      <c r="H461" s="57">
        <v>0</v>
      </c>
      <c r="I461" s="57">
        <v>8</v>
      </c>
      <c r="J461" s="24">
        <v>825568.04</v>
      </c>
    </row>
    <row r="462" spans="1:10" x14ac:dyDescent="0.25">
      <c r="A462" s="20">
        <v>462</v>
      </c>
      <c r="B462" s="21">
        <v>45974</v>
      </c>
      <c r="C462" s="20" t="s">
        <v>474</v>
      </c>
      <c r="D462" s="20" t="s">
        <v>759</v>
      </c>
      <c r="E462" s="20"/>
      <c r="F462" s="22" t="s">
        <v>778</v>
      </c>
      <c r="G462" s="23" t="s">
        <v>527</v>
      </c>
      <c r="H462" s="57">
        <v>8</v>
      </c>
      <c r="I462" s="57">
        <v>0</v>
      </c>
      <c r="J462" s="24">
        <v>25568.04</v>
      </c>
    </row>
    <row r="463" spans="1:10" ht="25.5" x14ac:dyDescent="0.25">
      <c r="A463" s="20">
        <v>463</v>
      </c>
      <c r="B463" s="21">
        <v>45974</v>
      </c>
      <c r="C463" s="20" t="s">
        <v>474</v>
      </c>
      <c r="D463" s="20" t="s">
        <v>91</v>
      </c>
      <c r="E463" s="20"/>
      <c r="F463" s="22" t="s">
        <v>92</v>
      </c>
      <c r="G463" s="23" t="s">
        <v>101</v>
      </c>
      <c r="H463" s="57">
        <v>0</v>
      </c>
      <c r="I463" s="57">
        <v>3.7</v>
      </c>
      <c r="J463" s="24">
        <v>395568.04</v>
      </c>
    </row>
    <row r="464" spans="1:10" x14ac:dyDescent="0.25">
      <c r="A464" s="20">
        <v>464</v>
      </c>
      <c r="B464" s="21">
        <v>45974</v>
      </c>
      <c r="C464" s="20" t="s">
        <v>474</v>
      </c>
      <c r="D464" s="20" t="s">
        <v>759</v>
      </c>
      <c r="E464" s="20"/>
      <c r="F464" s="22" t="s">
        <v>789</v>
      </c>
      <c r="G464" s="23" t="s">
        <v>528</v>
      </c>
      <c r="H464" s="57">
        <v>0.38250000000000001</v>
      </c>
      <c r="I464" s="57">
        <v>0</v>
      </c>
      <c r="J464" s="24">
        <v>357318.04</v>
      </c>
    </row>
    <row r="465" spans="1:10" x14ac:dyDescent="0.25">
      <c r="A465" s="20">
        <v>465</v>
      </c>
      <c r="B465" s="21">
        <v>45974</v>
      </c>
      <c r="C465" s="20" t="s">
        <v>474</v>
      </c>
      <c r="D465" s="25" t="s">
        <v>759</v>
      </c>
      <c r="E465" s="20"/>
      <c r="F465" s="22" t="s">
        <v>769</v>
      </c>
      <c r="G465" s="23" t="s">
        <v>529</v>
      </c>
      <c r="H465" s="57">
        <v>0.15</v>
      </c>
      <c r="I465" s="57">
        <v>0</v>
      </c>
      <c r="J465" s="24">
        <v>342318.04</v>
      </c>
    </row>
    <row r="466" spans="1:10" x14ac:dyDescent="0.25">
      <c r="A466" s="20">
        <v>466</v>
      </c>
      <c r="B466" s="21">
        <v>45974</v>
      </c>
      <c r="C466" s="20" t="s">
        <v>474</v>
      </c>
      <c r="D466" s="20" t="s">
        <v>759</v>
      </c>
      <c r="E466" s="20"/>
      <c r="F466" s="22" t="s">
        <v>789</v>
      </c>
      <c r="G466" s="23" t="s">
        <v>530</v>
      </c>
      <c r="H466" s="57">
        <v>0.44737080000000001</v>
      </c>
      <c r="I466" s="57">
        <v>0</v>
      </c>
      <c r="J466" s="24">
        <v>297580.96000000002</v>
      </c>
    </row>
    <row r="467" spans="1:10" x14ac:dyDescent="0.25">
      <c r="A467" s="20">
        <v>467</v>
      </c>
      <c r="B467" s="21">
        <v>45975</v>
      </c>
      <c r="C467" s="20" t="s">
        <v>474</v>
      </c>
      <c r="D467" s="20" t="s">
        <v>497</v>
      </c>
      <c r="E467" s="20"/>
      <c r="F467" s="22" t="s">
        <v>801</v>
      </c>
      <c r="G467" s="23" t="s">
        <v>531</v>
      </c>
      <c r="H467" s="57">
        <v>0</v>
      </c>
      <c r="I467" s="57">
        <v>2.5</v>
      </c>
      <c r="J467" s="24">
        <v>547580.96</v>
      </c>
    </row>
    <row r="468" spans="1:10" x14ac:dyDescent="0.25">
      <c r="A468" s="20">
        <v>468</v>
      </c>
      <c r="B468" s="21">
        <v>45975</v>
      </c>
      <c r="C468" s="20" t="s">
        <v>474</v>
      </c>
      <c r="D468" s="20" t="s">
        <v>759</v>
      </c>
      <c r="E468" s="20"/>
      <c r="F468" s="22" t="s">
        <v>775</v>
      </c>
      <c r="G468" s="23" t="s">
        <v>532</v>
      </c>
      <c r="H468" s="57">
        <v>0.5</v>
      </c>
      <c r="I468" s="57">
        <v>0</v>
      </c>
      <c r="J468" s="24">
        <v>497580.96</v>
      </c>
    </row>
    <row r="469" spans="1:10" x14ac:dyDescent="0.25">
      <c r="A469" s="20">
        <v>469</v>
      </c>
      <c r="B469" s="21">
        <v>45975</v>
      </c>
      <c r="C469" s="20" t="s">
        <v>474</v>
      </c>
      <c r="D469" s="20" t="s">
        <v>497</v>
      </c>
      <c r="E469" s="20"/>
      <c r="F469" s="22" t="s">
        <v>797</v>
      </c>
      <c r="G469" s="23" t="s">
        <v>533</v>
      </c>
      <c r="H469" s="57">
        <v>0</v>
      </c>
      <c r="I469" s="57">
        <v>20.570329999999998</v>
      </c>
      <c r="J469" s="24">
        <v>2554613.96</v>
      </c>
    </row>
    <row r="470" spans="1:10" ht="25.5" x14ac:dyDescent="0.25">
      <c r="A470" s="20">
        <v>470</v>
      </c>
      <c r="B470" s="21">
        <v>45975</v>
      </c>
      <c r="C470" s="20" t="s">
        <v>474</v>
      </c>
      <c r="D470" s="20" t="s">
        <v>759</v>
      </c>
      <c r="E470" s="20"/>
      <c r="F470" s="22" t="s">
        <v>774</v>
      </c>
      <c r="G470" s="23" t="s">
        <v>534</v>
      </c>
      <c r="H470" s="57">
        <v>25</v>
      </c>
      <c r="I470" s="57">
        <v>0</v>
      </c>
      <c r="J470" s="24">
        <v>54613.96</v>
      </c>
    </row>
    <row r="471" spans="1:10" x14ac:dyDescent="0.25">
      <c r="A471" s="20">
        <v>471</v>
      </c>
      <c r="B471" s="21">
        <v>45975</v>
      </c>
      <c r="C471" s="20" t="s">
        <v>474</v>
      </c>
      <c r="D471" s="20" t="s">
        <v>140</v>
      </c>
      <c r="E471" s="20"/>
      <c r="F471" s="22" t="s">
        <v>141</v>
      </c>
      <c r="G471" s="23" t="s">
        <v>535</v>
      </c>
      <c r="H471" s="57">
        <v>0.3</v>
      </c>
      <c r="I471" s="57">
        <v>0</v>
      </c>
      <c r="J471" s="24">
        <v>24613.96</v>
      </c>
    </row>
    <row r="472" spans="1:10" x14ac:dyDescent="0.25">
      <c r="A472" s="20">
        <v>472</v>
      </c>
      <c r="B472" s="21">
        <v>45976</v>
      </c>
      <c r="C472" s="20" t="s">
        <v>474</v>
      </c>
      <c r="D472" s="20" t="s">
        <v>497</v>
      </c>
      <c r="E472" s="20"/>
      <c r="F472" s="22" t="s">
        <v>765</v>
      </c>
      <c r="G472" s="23" t="s">
        <v>536</v>
      </c>
      <c r="H472" s="57">
        <v>0</v>
      </c>
      <c r="I472" s="57">
        <v>20</v>
      </c>
      <c r="J472" s="24">
        <v>2024613.96</v>
      </c>
    </row>
    <row r="473" spans="1:10" ht="25.5" x14ac:dyDescent="0.25">
      <c r="A473" s="20">
        <v>473</v>
      </c>
      <c r="B473" s="21">
        <v>45976</v>
      </c>
      <c r="C473" s="20" t="s">
        <v>474</v>
      </c>
      <c r="D473" s="20" t="s">
        <v>759</v>
      </c>
      <c r="E473" s="20"/>
      <c r="F473" s="22" t="s">
        <v>774</v>
      </c>
      <c r="G473" s="23" t="s">
        <v>537</v>
      </c>
      <c r="H473" s="57">
        <v>18.99098</v>
      </c>
      <c r="I473" s="57">
        <v>0</v>
      </c>
      <c r="J473" s="24">
        <v>125515.96</v>
      </c>
    </row>
    <row r="474" spans="1:10" ht="25.5" x14ac:dyDescent="0.25">
      <c r="A474" s="20">
        <v>474</v>
      </c>
      <c r="B474" s="21">
        <v>45976</v>
      </c>
      <c r="C474" s="20" t="s">
        <v>474</v>
      </c>
      <c r="D474" s="20" t="s">
        <v>91</v>
      </c>
      <c r="E474" s="20"/>
      <c r="F474" s="22" t="s">
        <v>92</v>
      </c>
      <c r="G474" s="23" t="s">
        <v>101</v>
      </c>
      <c r="H474" s="57">
        <v>0</v>
      </c>
      <c r="I474" s="57">
        <v>5</v>
      </c>
      <c r="J474" s="24">
        <v>625515.96</v>
      </c>
    </row>
    <row r="475" spans="1:10" ht="25.5" x14ac:dyDescent="0.25">
      <c r="A475" s="20">
        <v>475</v>
      </c>
      <c r="B475" s="21">
        <v>45976</v>
      </c>
      <c r="C475" s="20" t="s">
        <v>474</v>
      </c>
      <c r="D475" s="20" t="s">
        <v>759</v>
      </c>
      <c r="E475" s="20"/>
      <c r="F475" s="22" t="s">
        <v>782</v>
      </c>
      <c r="G475" s="23" t="s">
        <v>538</v>
      </c>
      <c r="H475" s="57">
        <v>1.8</v>
      </c>
      <c r="I475" s="57">
        <v>0</v>
      </c>
      <c r="J475" s="24">
        <v>445515.96</v>
      </c>
    </row>
    <row r="476" spans="1:10" x14ac:dyDescent="0.25">
      <c r="A476" s="20">
        <v>476</v>
      </c>
      <c r="B476" s="21">
        <v>45976</v>
      </c>
      <c r="C476" s="20" t="s">
        <v>474</v>
      </c>
      <c r="D476" s="20" t="s">
        <v>787</v>
      </c>
      <c r="E476" s="20">
        <v>1544215</v>
      </c>
      <c r="F476" s="22" t="s">
        <v>786</v>
      </c>
      <c r="G476" s="23" t="s">
        <v>539</v>
      </c>
      <c r="H476" s="57">
        <v>0.2</v>
      </c>
      <c r="I476" s="57">
        <v>0</v>
      </c>
      <c r="J476" s="24">
        <v>425515.96</v>
      </c>
    </row>
    <row r="477" spans="1:10" ht="25.5" x14ac:dyDescent="0.25">
      <c r="A477" s="20">
        <v>477</v>
      </c>
      <c r="B477" s="21">
        <v>45976</v>
      </c>
      <c r="C477" s="20" t="s">
        <v>474</v>
      </c>
      <c r="D477" s="20" t="s">
        <v>759</v>
      </c>
      <c r="E477" s="20"/>
      <c r="F477" s="22" t="s">
        <v>781</v>
      </c>
      <c r="G477" s="23" t="s">
        <v>540</v>
      </c>
      <c r="H477" s="57">
        <v>0.1</v>
      </c>
      <c r="I477" s="57">
        <v>0</v>
      </c>
      <c r="J477" s="24">
        <v>415515.96</v>
      </c>
    </row>
    <row r="478" spans="1:10" x14ac:dyDescent="0.25">
      <c r="A478" s="20">
        <v>478</v>
      </c>
      <c r="B478" s="21">
        <v>45976</v>
      </c>
      <c r="C478" s="20" t="s">
        <v>474</v>
      </c>
      <c r="D478" s="20" t="s">
        <v>497</v>
      </c>
      <c r="E478" s="20"/>
      <c r="F478" s="22" t="s">
        <v>797</v>
      </c>
      <c r="G478" s="23" t="s">
        <v>541</v>
      </c>
      <c r="H478" s="57">
        <v>0</v>
      </c>
      <c r="I478" s="57">
        <v>2.7191700000000001</v>
      </c>
      <c r="J478" s="24">
        <v>687432.96</v>
      </c>
    </row>
    <row r="479" spans="1:10" x14ac:dyDescent="0.25">
      <c r="A479" s="20">
        <v>479</v>
      </c>
      <c r="B479" s="21">
        <v>45976</v>
      </c>
      <c r="C479" s="20" t="s">
        <v>474</v>
      </c>
      <c r="D479" s="20" t="s">
        <v>752</v>
      </c>
      <c r="E479" s="20"/>
      <c r="F479" s="22" t="s">
        <v>748</v>
      </c>
      <c r="G479" s="23" t="s">
        <v>542</v>
      </c>
      <c r="H479" s="57">
        <v>0</v>
      </c>
      <c r="I479" s="57">
        <v>13.75</v>
      </c>
      <c r="J479" s="24">
        <v>2062432.96</v>
      </c>
    </row>
    <row r="480" spans="1:10" x14ac:dyDescent="0.25">
      <c r="A480" s="20">
        <v>480</v>
      </c>
      <c r="B480" s="21">
        <v>45976</v>
      </c>
      <c r="C480" s="20" t="s">
        <v>474</v>
      </c>
      <c r="D480" s="20" t="s">
        <v>746</v>
      </c>
      <c r="E480" s="20"/>
      <c r="F480" s="22" t="s">
        <v>298</v>
      </c>
      <c r="G480" s="23" t="s">
        <v>543</v>
      </c>
      <c r="H480" s="57">
        <v>2E-3</v>
      </c>
      <c r="I480" s="57">
        <v>0</v>
      </c>
      <c r="J480" s="24">
        <v>2062232.96</v>
      </c>
    </row>
    <row r="481" spans="1:10" x14ac:dyDescent="0.25">
      <c r="A481" s="20">
        <v>481</v>
      </c>
      <c r="B481" s="21">
        <v>45976</v>
      </c>
      <c r="C481" s="20" t="s">
        <v>474</v>
      </c>
      <c r="D481" s="20" t="s">
        <v>752</v>
      </c>
      <c r="E481" s="20"/>
      <c r="F481" s="22" t="s">
        <v>756</v>
      </c>
      <c r="G481" s="23" t="s">
        <v>544</v>
      </c>
      <c r="H481" s="57">
        <v>13.738681000000001</v>
      </c>
      <c r="I481" s="57">
        <v>0</v>
      </c>
      <c r="J481" s="24">
        <v>688364.86</v>
      </c>
    </row>
    <row r="482" spans="1:10" x14ac:dyDescent="0.25">
      <c r="A482" s="20">
        <v>482</v>
      </c>
      <c r="B482" s="21">
        <v>45978</v>
      </c>
      <c r="C482" s="20" t="s">
        <v>474</v>
      </c>
      <c r="D482" s="25" t="s">
        <v>759</v>
      </c>
      <c r="E482" s="20"/>
      <c r="F482" s="22" t="s">
        <v>773</v>
      </c>
      <c r="G482" s="23" t="s">
        <v>545</v>
      </c>
      <c r="H482" s="57">
        <v>2</v>
      </c>
      <c r="I482" s="57">
        <v>0</v>
      </c>
      <c r="J482" s="24">
        <v>488364.86</v>
      </c>
    </row>
    <row r="483" spans="1:10" x14ac:dyDescent="0.25">
      <c r="A483" s="20">
        <v>483</v>
      </c>
      <c r="B483" s="21">
        <v>45979</v>
      </c>
      <c r="C483" s="20" t="s">
        <v>474</v>
      </c>
      <c r="D483" s="20" t="s">
        <v>497</v>
      </c>
      <c r="E483" s="20"/>
      <c r="F483" s="22" t="s">
        <v>797</v>
      </c>
      <c r="G483" s="23" t="s">
        <v>546</v>
      </c>
      <c r="H483" s="57">
        <v>0</v>
      </c>
      <c r="I483" s="57">
        <v>5.05558</v>
      </c>
      <c r="J483" s="24">
        <v>993922.86</v>
      </c>
    </row>
    <row r="484" spans="1:10" x14ac:dyDescent="0.25">
      <c r="A484" s="20">
        <v>484</v>
      </c>
      <c r="B484" s="21">
        <v>45979</v>
      </c>
      <c r="C484" s="20" t="s">
        <v>474</v>
      </c>
      <c r="D484" s="20" t="s">
        <v>91</v>
      </c>
      <c r="E484" s="20"/>
      <c r="F484" s="22" t="s">
        <v>92</v>
      </c>
      <c r="G484" s="23" t="s">
        <v>95</v>
      </c>
      <c r="H484" s="57">
        <v>0</v>
      </c>
      <c r="I484" s="57">
        <v>5</v>
      </c>
      <c r="J484" s="24">
        <v>1493922.86</v>
      </c>
    </row>
    <row r="485" spans="1:10" ht="25.5" x14ac:dyDescent="0.25">
      <c r="A485" s="20">
        <v>485</v>
      </c>
      <c r="B485" s="21">
        <v>45979</v>
      </c>
      <c r="C485" s="20" t="s">
        <v>474</v>
      </c>
      <c r="D485" s="20" t="s">
        <v>497</v>
      </c>
      <c r="E485" s="20"/>
      <c r="F485" s="22" t="s">
        <v>801</v>
      </c>
      <c r="G485" s="23" t="s">
        <v>547</v>
      </c>
      <c r="H485" s="57">
        <v>0</v>
      </c>
      <c r="I485" s="57">
        <v>3</v>
      </c>
      <c r="J485" s="24">
        <v>1793922.86</v>
      </c>
    </row>
    <row r="486" spans="1:10" x14ac:dyDescent="0.25">
      <c r="A486" s="20">
        <v>486</v>
      </c>
      <c r="B486" s="21">
        <v>45979</v>
      </c>
      <c r="C486" s="20" t="s">
        <v>474</v>
      </c>
      <c r="D486" s="20" t="s">
        <v>91</v>
      </c>
      <c r="E486" s="20"/>
      <c r="F486" s="22" t="s">
        <v>92</v>
      </c>
      <c r="G486" s="23" t="s">
        <v>95</v>
      </c>
      <c r="H486" s="57">
        <v>0</v>
      </c>
      <c r="I486" s="57">
        <v>10</v>
      </c>
      <c r="J486" s="24">
        <v>2793922.86</v>
      </c>
    </row>
    <row r="487" spans="1:10" ht="25.5" x14ac:dyDescent="0.25">
      <c r="A487" s="20">
        <v>487</v>
      </c>
      <c r="B487" s="21">
        <v>45979</v>
      </c>
      <c r="C487" s="20" t="s">
        <v>474</v>
      </c>
      <c r="D487" s="20" t="s">
        <v>759</v>
      </c>
      <c r="E487" s="20"/>
      <c r="F487" s="22" t="s">
        <v>774</v>
      </c>
      <c r="G487" s="23" t="s">
        <v>548</v>
      </c>
      <c r="H487" s="57">
        <v>17</v>
      </c>
      <c r="I487" s="57">
        <v>0</v>
      </c>
      <c r="J487" s="24">
        <v>1093922.8600000001</v>
      </c>
    </row>
    <row r="488" spans="1:10" x14ac:dyDescent="0.25">
      <c r="A488" s="20">
        <v>488</v>
      </c>
      <c r="B488" s="21">
        <v>45979</v>
      </c>
      <c r="C488" s="20" t="s">
        <v>474</v>
      </c>
      <c r="D488" s="20" t="s">
        <v>759</v>
      </c>
      <c r="E488" s="20"/>
      <c r="F488" s="22" t="s">
        <v>765</v>
      </c>
      <c r="G488" s="23" t="s">
        <v>549</v>
      </c>
      <c r="H488" s="57">
        <v>1.1499999999999999</v>
      </c>
      <c r="I488" s="57">
        <v>0</v>
      </c>
      <c r="J488" s="24">
        <v>978922.86</v>
      </c>
    </row>
    <row r="489" spans="1:10" x14ac:dyDescent="0.25">
      <c r="A489" s="20">
        <v>489</v>
      </c>
      <c r="B489" s="21">
        <v>45980</v>
      </c>
      <c r="C489" s="20" t="s">
        <v>474</v>
      </c>
      <c r="D489" s="20" t="s">
        <v>497</v>
      </c>
      <c r="E489" s="20"/>
      <c r="F489" s="22" t="s">
        <v>797</v>
      </c>
      <c r="G489" s="23" t="s">
        <v>550</v>
      </c>
      <c r="H489" s="57">
        <v>0</v>
      </c>
      <c r="I489" s="57">
        <v>10.14925</v>
      </c>
      <c r="J489" s="24">
        <v>1993847.86</v>
      </c>
    </row>
    <row r="490" spans="1:10" x14ac:dyDescent="0.25">
      <c r="A490" s="20">
        <v>490</v>
      </c>
      <c r="B490" s="21">
        <v>45980</v>
      </c>
      <c r="C490" s="20" t="s">
        <v>474</v>
      </c>
      <c r="D490" s="20" t="s">
        <v>91</v>
      </c>
      <c r="E490" s="20"/>
      <c r="F490" s="22" t="s">
        <v>92</v>
      </c>
      <c r="G490" s="23" t="s">
        <v>95</v>
      </c>
      <c r="H490" s="57">
        <v>0</v>
      </c>
      <c r="I490" s="57">
        <v>1.5</v>
      </c>
      <c r="J490" s="24">
        <v>2143847.86</v>
      </c>
    </row>
    <row r="491" spans="1:10" ht="25.5" x14ac:dyDescent="0.25">
      <c r="A491" s="20">
        <v>491</v>
      </c>
      <c r="B491" s="21">
        <v>45980</v>
      </c>
      <c r="C491" s="20" t="s">
        <v>474</v>
      </c>
      <c r="D491" s="20" t="s">
        <v>759</v>
      </c>
      <c r="E491" s="20"/>
      <c r="F491" s="22" t="s">
        <v>774</v>
      </c>
      <c r="G491" s="23" t="s">
        <v>551</v>
      </c>
      <c r="H491" s="57">
        <v>11</v>
      </c>
      <c r="I491" s="57">
        <v>0</v>
      </c>
      <c r="J491" s="24">
        <v>1043847.86</v>
      </c>
    </row>
    <row r="492" spans="1:10" x14ac:dyDescent="0.25">
      <c r="A492" s="20">
        <v>492</v>
      </c>
      <c r="B492" s="21">
        <v>45981</v>
      </c>
      <c r="C492" s="20" t="s">
        <v>474</v>
      </c>
      <c r="D492" s="20" t="s">
        <v>91</v>
      </c>
      <c r="E492" s="20"/>
      <c r="F492" s="22" t="s">
        <v>92</v>
      </c>
      <c r="G492" s="23" t="s">
        <v>95</v>
      </c>
      <c r="H492" s="57">
        <v>0</v>
      </c>
      <c r="I492" s="57">
        <v>5</v>
      </c>
      <c r="J492" s="24">
        <v>1543847.86</v>
      </c>
    </row>
    <row r="493" spans="1:10" ht="25.5" x14ac:dyDescent="0.25">
      <c r="A493" s="20">
        <v>493</v>
      </c>
      <c r="B493" s="21">
        <v>45981</v>
      </c>
      <c r="C493" s="20" t="s">
        <v>474</v>
      </c>
      <c r="D493" s="20" t="s">
        <v>759</v>
      </c>
      <c r="E493" s="20"/>
      <c r="F493" s="22" t="s">
        <v>774</v>
      </c>
      <c r="G493" s="23" t="s">
        <v>552</v>
      </c>
      <c r="H493" s="57">
        <v>15</v>
      </c>
      <c r="I493" s="57">
        <v>0</v>
      </c>
      <c r="J493" s="24">
        <v>43847.86</v>
      </c>
    </row>
    <row r="494" spans="1:10" ht="25.5" x14ac:dyDescent="0.25">
      <c r="A494" s="20">
        <v>494</v>
      </c>
      <c r="B494" s="21">
        <v>45981</v>
      </c>
      <c r="C494" s="20" t="s">
        <v>474</v>
      </c>
      <c r="D494" s="20" t="s">
        <v>497</v>
      </c>
      <c r="E494" s="20"/>
      <c r="F494" s="22" t="s">
        <v>801</v>
      </c>
      <c r="G494" s="23" t="s">
        <v>553</v>
      </c>
      <c r="H494" s="57">
        <v>0</v>
      </c>
      <c r="I494" s="57">
        <v>2</v>
      </c>
      <c r="J494" s="24">
        <v>243847.86</v>
      </c>
    </row>
    <row r="495" spans="1:10" x14ac:dyDescent="0.25">
      <c r="A495" s="20">
        <v>495</v>
      </c>
      <c r="B495" s="21">
        <v>45981</v>
      </c>
      <c r="C495" s="20" t="s">
        <v>474</v>
      </c>
      <c r="D495" s="20" t="s">
        <v>497</v>
      </c>
      <c r="E495" s="20"/>
      <c r="F495" s="22" t="s">
        <v>797</v>
      </c>
      <c r="G495" s="23" t="s">
        <v>554</v>
      </c>
      <c r="H495" s="57">
        <v>0</v>
      </c>
      <c r="I495" s="57">
        <v>5.1393700000000004</v>
      </c>
      <c r="J495" s="24">
        <v>757784.86</v>
      </c>
    </row>
    <row r="496" spans="1:10" ht="25.5" x14ac:dyDescent="0.25">
      <c r="A496" s="20">
        <v>496</v>
      </c>
      <c r="B496" s="21">
        <v>45981</v>
      </c>
      <c r="C496" s="20" t="s">
        <v>474</v>
      </c>
      <c r="D496" s="20" t="s">
        <v>497</v>
      </c>
      <c r="E496" s="20"/>
      <c r="F496" s="22" t="s">
        <v>801</v>
      </c>
      <c r="G496" s="23" t="s">
        <v>555</v>
      </c>
      <c r="H496" s="57">
        <v>0</v>
      </c>
      <c r="I496" s="57">
        <v>4</v>
      </c>
      <c r="J496" s="24">
        <v>1157784.8600000001</v>
      </c>
    </row>
    <row r="497" spans="1:10" x14ac:dyDescent="0.25">
      <c r="A497" s="20">
        <v>497</v>
      </c>
      <c r="B497" s="21">
        <v>45981</v>
      </c>
      <c r="C497" s="20" t="s">
        <v>474</v>
      </c>
      <c r="D497" s="20" t="s">
        <v>759</v>
      </c>
      <c r="E497" s="20"/>
      <c r="F497" s="22" t="s">
        <v>778</v>
      </c>
      <c r="G497" s="23" t="s">
        <v>556</v>
      </c>
      <c r="H497" s="57">
        <v>10</v>
      </c>
      <c r="I497" s="57">
        <v>0</v>
      </c>
      <c r="J497" s="24">
        <v>157784.85999999999</v>
      </c>
    </row>
    <row r="498" spans="1:10" x14ac:dyDescent="0.25">
      <c r="A498" s="20">
        <v>498</v>
      </c>
      <c r="B498" s="21">
        <v>45982</v>
      </c>
      <c r="C498" s="20" t="s">
        <v>474</v>
      </c>
      <c r="D498" s="20" t="s">
        <v>497</v>
      </c>
      <c r="E498" s="20"/>
      <c r="F498" s="22" t="s">
        <v>797</v>
      </c>
      <c r="G498" s="23" t="s">
        <v>557</v>
      </c>
      <c r="H498" s="57">
        <v>0</v>
      </c>
      <c r="I498" s="57">
        <v>5.1755500000000003</v>
      </c>
      <c r="J498" s="24">
        <v>675339.86</v>
      </c>
    </row>
    <row r="499" spans="1:10" x14ac:dyDescent="0.25">
      <c r="A499" s="20">
        <v>499</v>
      </c>
      <c r="B499" s="21">
        <v>45982</v>
      </c>
      <c r="C499" s="20" t="s">
        <v>474</v>
      </c>
      <c r="D499" s="20" t="s">
        <v>759</v>
      </c>
      <c r="E499" s="20"/>
      <c r="F499" s="22" t="s">
        <v>778</v>
      </c>
      <c r="G499" s="23" t="s">
        <v>558</v>
      </c>
      <c r="H499" s="57">
        <v>6</v>
      </c>
      <c r="I499" s="57">
        <v>0</v>
      </c>
      <c r="J499" s="24">
        <v>75339.86</v>
      </c>
    </row>
    <row r="500" spans="1:10" x14ac:dyDescent="0.25">
      <c r="A500" s="20">
        <v>500</v>
      </c>
      <c r="B500" s="21">
        <v>45982</v>
      </c>
      <c r="C500" s="20" t="s">
        <v>474</v>
      </c>
      <c r="D500" s="20" t="s">
        <v>497</v>
      </c>
      <c r="E500" s="20"/>
      <c r="F500" s="22" t="s">
        <v>801</v>
      </c>
      <c r="G500" s="23" t="s">
        <v>559</v>
      </c>
      <c r="H500" s="57">
        <v>0</v>
      </c>
      <c r="I500" s="57">
        <v>3</v>
      </c>
      <c r="J500" s="24">
        <v>375339.86</v>
      </c>
    </row>
    <row r="501" spans="1:10" x14ac:dyDescent="0.25">
      <c r="A501" s="20">
        <v>501</v>
      </c>
      <c r="B501" s="21">
        <v>45983</v>
      </c>
      <c r="C501" s="20" t="s">
        <v>474</v>
      </c>
      <c r="D501" s="20" t="s">
        <v>497</v>
      </c>
      <c r="E501" s="20"/>
      <c r="F501" s="22" t="s">
        <v>797</v>
      </c>
      <c r="G501" s="23" t="s">
        <v>560</v>
      </c>
      <c r="H501" s="57">
        <v>0</v>
      </c>
      <c r="I501" s="57">
        <v>6.5751200000000001</v>
      </c>
      <c r="J501" s="24">
        <v>1032851.86</v>
      </c>
    </row>
    <row r="502" spans="1:10" x14ac:dyDescent="0.25">
      <c r="A502" s="20">
        <v>502</v>
      </c>
      <c r="B502" s="21">
        <v>45984</v>
      </c>
      <c r="C502" s="20" t="s">
        <v>474</v>
      </c>
      <c r="D502" s="20" t="s">
        <v>752</v>
      </c>
      <c r="E502" s="20"/>
      <c r="F502" s="22" t="s">
        <v>754</v>
      </c>
      <c r="G502" s="23" t="s">
        <v>188</v>
      </c>
      <c r="H502" s="57">
        <v>0.13242000000000001</v>
      </c>
      <c r="I502" s="57">
        <v>0</v>
      </c>
      <c r="J502" s="24">
        <v>1019609.86</v>
      </c>
    </row>
    <row r="503" spans="1:10" x14ac:dyDescent="0.25">
      <c r="A503" s="20">
        <v>503</v>
      </c>
      <c r="B503" s="21">
        <v>45985</v>
      </c>
      <c r="C503" s="20" t="s">
        <v>474</v>
      </c>
      <c r="D503" s="20" t="s">
        <v>759</v>
      </c>
      <c r="E503" s="20"/>
      <c r="F503" s="22" t="s">
        <v>778</v>
      </c>
      <c r="G503" s="23" t="s">
        <v>561</v>
      </c>
      <c r="H503" s="57">
        <v>9</v>
      </c>
      <c r="I503" s="57">
        <v>0</v>
      </c>
      <c r="J503" s="24">
        <v>119609.86</v>
      </c>
    </row>
    <row r="504" spans="1:10" x14ac:dyDescent="0.25">
      <c r="A504" s="20">
        <v>504</v>
      </c>
      <c r="B504" s="21">
        <v>45985</v>
      </c>
      <c r="C504" s="20" t="s">
        <v>474</v>
      </c>
      <c r="D504" s="20" t="s">
        <v>91</v>
      </c>
      <c r="E504" s="20"/>
      <c r="F504" s="22" t="s">
        <v>92</v>
      </c>
      <c r="G504" s="23" t="s">
        <v>149</v>
      </c>
      <c r="H504" s="57">
        <v>0.2</v>
      </c>
      <c r="I504" s="57">
        <v>0</v>
      </c>
      <c r="J504" s="24">
        <v>99609.86</v>
      </c>
    </row>
    <row r="505" spans="1:10" x14ac:dyDescent="0.25">
      <c r="A505" s="20">
        <v>505</v>
      </c>
      <c r="B505" s="21">
        <v>45985</v>
      </c>
      <c r="C505" s="20" t="s">
        <v>474</v>
      </c>
      <c r="D505" s="20" t="s">
        <v>759</v>
      </c>
      <c r="E505" s="20"/>
      <c r="F505" s="22" t="s">
        <v>789</v>
      </c>
      <c r="G505" s="23" t="s">
        <v>562</v>
      </c>
      <c r="H505" s="57">
        <v>0.1978154</v>
      </c>
      <c r="I505" s="57">
        <v>0</v>
      </c>
      <c r="J505" s="24">
        <v>79828.320000000007</v>
      </c>
    </row>
    <row r="506" spans="1:10" ht="25.5" x14ac:dyDescent="0.25">
      <c r="A506" s="20">
        <v>506</v>
      </c>
      <c r="B506" s="21">
        <v>45985</v>
      </c>
      <c r="C506" s="20" t="s">
        <v>474</v>
      </c>
      <c r="D506" s="20" t="s">
        <v>497</v>
      </c>
      <c r="E506" s="20"/>
      <c r="F506" s="22" t="s">
        <v>801</v>
      </c>
      <c r="G506" s="23" t="s">
        <v>563</v>
      </c>
      <c r="H506" s="57">
        <v>0</v>
      </c>
      <c r="I506" s="57">
        <v>1.8077300000000001</v>
      </c>
      <c r="J506" s="24">
        <v>260601.32</v>
      </c>
    </row>
    <row r="507" spans="1:10" x14ac:dyDescent="0.25">
      <c r="A507" s="20">
        <v>507</v>
      </c>
      <c r="B507" s="21">
        <v>45986</v>
      </c>
      <c r="C507" s="20" t="s">
        <v>474</v>
      </c>
      <c r="D507" s="20" t="s">
        <v>91</v>
      </c>
      <c r="E507" s="20"/>
      <c r="F507" s="22" t="s">
        <v>92</v>
      </c>
      <c r="G507" s="23" t="s">
        <v>180</v>
      </c>
      <c r="H507" s="57">
        <v>0</v>
      </c>
      <c r="I507" s="57">
        <v>14.5</v>
      </c>
      <c r="J507" s="24">
        <v>1710601.32</v>
      </c>
    </row>
    <row r="508" spans="1:10" x14ac:dyDescent="0.25">
      <c r="A508" s="20">
        <v>508</v>
      </c>
      <c r="B508" s="21">
        <v>45986</v>
      </c>
      <c r="C508" s="20" t="s">
        <v>474</v>
      </c>
      <c r="D508" s="20" t="s">
        <v>759</v>
      </c>
      <c r="E508" s="20"/>
      <c r="F508" s="22" t="s">
        <v>778</v>
      </c>
      <c r="G508" s="23" t="s">
        <v>564</v>
      </c>
      <c r="H508" s="57">
        <v>15</v>
      </c>
      <c r="I508" s="57">
        <v>0</v>
      </c>
      <c r="J508" s="24">
        <v>210601.32</v>
      </c>
    </row>
    <row r="509" spans="1:10" x14ac:dyDescent="0.25">
      <c r="A509" s="20">
        <v>509</v>
      </c>
      <c r="B509" s="21">
        <v>45986</v>
      </c>
      <c r="C509" s="20" t="s">
        <v>474</v>
      </c>
      <c r="D509" s="20" t="s">
        <v>497</v>
      </c>
      <c r="E509" s="20"/>
      <c r="F509" s="22" t="s">
        <v>797</v>
      </c>
      <c r="G509" s="23" t="s">
        <v>565</v>
      </c>
      <c r="H509" s="57">
        <v>0</v>
      </c>
      <c r="I509" s="57">
        <v>13.847160000000001</v>
      </c>
      <c r="J509" s="24">
        <v>1595317.32</v>
      </c>
    </row>
    <row r="510" spans="1:10" x14ac:dyDescent="0.25">
      <c r="A510" s="20">
        <v>510</v>
      </c>
      <c r="B510" s="21">
        <v>45986</v>
      </c>
      <c r="C510" s="20" t="s">
        <v>474</v>
      </c>
      <c r="D510" s="20" t="s">
        <v>91</v>
      </c>
      <c r="E510" s="20"/>
      <c r="F510" s="22" t="s">
        <v>92</v>
      </c>
      <c r="G510" s="23" t="s">
        <v>149</v>
      </c>
      <c r="H510" s="57">
        <v>3</v>
      </c>
      <c r="I510" s="57">
        <v>0</v>
      </c>
      <c r="J510" s="24">
        <v>1295317.32</v>
      </c>
    </row>
    <row r="511" spans="1:10" x14ac:dyDescent="0.25">
      <c r="A511" s="20">
        <v>511</v>
      </c>
      <c r="B511" s="21">
        <v>45986</v>
      </c>
      <c r="C511" s="20" t="s">
        <v>474</v>
      </c>
      <c r="D511" s="20" t="s">
        <v>759</v>
      </c>
      <c r="E511" s="20"/>
      <c r="F511" s="22" t="s">
        <v>778</v>
      </c>
      <c r="G511" s="23" t="s">
        <v>566</v>
      </c>
      <c r="H511" s="57">
        <v>12</v>
      </c>
      <c r="I511" s="57">
        <v>0</v>
      </c>
      <c r="J511" s="24">
        <v>95317.32</v>
      </c>
    </row>
    <row r="512" spans="1:10" x14ac:dyDescent="0.25">
      <c r="A512" s="20">
        <v>512</v>
      </c>
      <c r="B512" s="21">
        <v>45987</v>
      </c>
      <c r="C512" s="20" t="s">
        <v>474</v>
      </c>
      <c r="D512" s="20" t="s">
        <v>497</v>
      </c>
      <c r="E512" s="20"/>
      <c r="F512" s="22" t="s">
        <v>797</v>
      </c>
      <c r="G512" s="23" t="s">
        <v>567</v>
      </c>
      <c r="H512" s="57">
        <v>0</v>
      </c>
      <c r="I512" s="57">
        <v>12.245749999999999</v>
      </c>
      <c r="J512" s="24">
        <v>1319892.32</v>
      </c>
    </row>
    <row r="513" spans="1:10" x14ac:dyDescent="0.25">
      <c r="A513" s="20">
        <v>513</v>
      </c>
      <c r="B513" s="21">
        <v>45987</v>
      </c>
      <c r="C513" s="20" t="s">
        <v>474</v>
      </c>
      <c r="D513" s="20" t="s">
        <v>497</v>
      </c>
      <c r="E513" s="20"/>
      <c r="F513" s="22" t="s">
        <v>498</v>
      </c>
      <c r="G513" s="23" t="s">
        <v>499</v>
      </c>
      <c r="H513" s="57">
        <v>0</v>
      </c>
      <c r="I513" s="57">
        <v>7</v>
      </c>
      <c r="J513" s="24">
        <v>2019892.32</v>
      </c>
    </row>
    <row r="514" spans="1:10" x14ac:dyDescent="0.25">
      <c r="A514" s="20">
        <v>514</v>
      </c>
      <c r="B514" s="21">
        <v>45987</v>
      </c>
      <c r="C514" s="20" t="s">
        <v>474</v>
      </c>
      <c r="D514" s="20" t="s">
        <v>497</v>
      </c>
      <c r="E514" s="20"/>
      <c r="F514" s="22" t="s">
        <v>765</v>
      </c>
      <c r="G514" s="23" t="s">
        <v>536</v>
      </c>
      <c r="H514" s="57">
        <v>0</v>
      </c>
      <c r="I514" s="57">
        <v>2</v>
      </c>
      <c r="J514" s="24">
        <v>2219892.3199999998</v>
      </c>
    </row>
    <row r="515" spans="1:10" x14ac:dyDescent="0.25">
      <c r="A515" s="20">
        <v>515</v>
      </c>
      <c r="B515" s="21">
        <v>45987</v>
      </c>
      <c r="C515" s="20" t="s">
        <v>474</v>
      </c>
      <c r="D515" s="20" t="s">
        <v>91</v>
      </c>
      <c r="E515" s="20"/>
      <c r="F515" s="22" t="s">
        <v>92</v>
      </c>
      <c r="G515" s="23" t="s">
        <v>149</v>
      </c>
      <c r="H515" s="57">
        <v>5</v>
      </c>
      <c r="I515" s="57">
        <v>0</v>
      </c>
      <c r="J515" s="24">
        <v>1719892.32</v>
      </c>
    </row>
    <row r="516" spans="1:10" x14ac:dyDescent="0.25">
      <c r="A516" s="20">
        <v>516</v>
      </c>
      <c r="B516" s="21">
        <v>45987</v>
      </c>
      <c r="C516" s="20" t="s">
        <v>474</v>
      </c>
      <c r="D516" s="20" t="s">
        <v>759</v>
      </c>
      <c r="E516" s="20"/>
      <c r="F516" s="22" t="s">
        <v>778</v>
      </c>
      <c r="G516" s="23" t="s">
        <v>568</v>
      </c>
      <c r="H516" s="57">
        <v>16</v>
      </c>
      <c r="I516" s="57">
        <v>0</v>
      </c>
      <c r="J516" s="24">
        <v>119892.32</v>
      </c>
    </row>
    <row r="517" spans="1:10" x14ac:dyDescent="0.25">
      <c r="A517" s="20">
        <v>517</v>
      </c>
      <c r="B517" s="21">
        <v>45988</v>
      </c>
      <c r="C517" s="20" t="s">
        <v>474</v>
      </c>
      <c r="D517" s="20" t="s">
        <v>497</v>
      </c>
      <c r="E517" s="20"/>
      <c r="F517" s="22" t="s">
        <v>797</v>
      </c>
      <c r="G517" s="23" t="s">
        <v>569</v>
      </c>
      <c r="H517" s="57">
        <v>0</v>
      </c>
      <c r="I517" s="57">
        <v>10.6729</v>
      </c>
      <c r="J517" s="24">
        <v>1187182.32</v>
      </c>
    </row>
    <row r="518" spans="1:10" x14ac:dyDescent="0.25">
      <c r="A518" s="20">
        <v>518</v>
      </c>
      <c r="B518" s="21">
        <v>45988</v>
      </c>
      <c r="C518" s="20" t="s">
        <v>474</v>
      </c>
      <c r="D518" s="20" t="s">
        <v>759</v>
      </c>
      <c r="E518" s="20"/>
      <c r="F518" s="22" t="s">
        <v>778</v>
      </c>
      <c r="G518" s="23" t="s">
        <v>570</v>
      </c>
      <c r="H518" s="57">
        <v>11</v>
      </c>
      <c r="I518" s="57">
        <v>0</v>
      </c>
      <c r="J518" s="24">
        <v>87182.32</v>
      </c>
    </row>
    <row r="519" spans="1:10" x14ac:dyDescent="0.25">
      <c r="A519" s="20">
        <v>519</v>
      </c>
      <c r="B519" s="21">
        <v>45988</v>
      </c>
      <c r="C519" s="20" t="s">
        <v>474</v>
      </c>
      <c r="D519" s="20" t="s">
        <v>91</v>
      </c>
      <c r="E519" s="20"/>
      <c r="F519" s="22" t="s">
        <v>92</v>
      </c>
      <c r="G519" s="23" t="s">
        <v>180</v>
      </c>
      <c r="H519" s="57">
        <v>0</v>
      </c>
      <c r="I519" s="57">
        <v>14</v>
      </c>
      <c r="J519" s="24">
        <v>1487182.32</v>
      </c>
    </row>
    <row r="520" spans="1:10" x14ac:dyDescent="0.25">
      <c r="A520" s="20">
        <v>520</v>
      </c>
      <c r="B520" s="21">
        <v>45988</v>
      </c>
      <c r="C520" s="20" t="s">
        <v>474</v>
      </c>
      <c r="D520" s="20" t="s">
        <v>759</v>
      </c>
      <c r="E520" s="20"/>
      <c r="F520" s="22" t="s">
        <v>778</v>
      </c>
      <c r="G520" s="23" t="s">
        <v>571</v>
      </c>
      <c r="H520" s="57">
        <v>14</v>
      </c>
      <c r="I520" s="57">
        <v>0</v>
      </c>
      <c r="J520" s="24">
        <v>87182.32</v>
      </c>
    </row>
    <row r="521" spans="1:10" x14ac:dyDescent="0.25">
      <c r="A521" s="20">
        <v>521</v>
      </c>
      <c r="B521" s="21">
        <v>45988</v>
      </c>
      <c r="C521" s="20" t="s">
        <v>474</v>
      </c>
      <c r="D521" s="20" t="s">
        <v>759</v>
      </c>
      <c r="E521" s="20"/>
      <c r="F521" s="22" t="s">
        <v>775</v>
      </c>
      <c r="G521" s="23" t="s">
        <v>572</v>
      </c>
      <c r="H521" s="57">
        <v>0.5</v>
      </c>
      <c r="I521" s="57">
        <v>0</v>
      </c>
      <c r="J521" s="24">
        <v>37182.32</v>
      </c>
    </row>
    <row r="522" spans="1:10" ht="25.5" x14ac:dyDescent="0.25">
      <c r="A522" s="20">
        <v>522</v>
      </c>
      <c r="B522" s="21">
        <v>45989</v>
      </c>
      <c r="C522" s="20" t="s">
        <v>474</v>
      </c>
      <c r="D522" s="20" t="s">
        <v>497</v>
      </c>
      <c r="E522" s="20"/>
      <c r="F522" s="22" t="s">
        <v>801</v>
      </c>
      <c r="G522" s="23" t="s">
        <v>573</v>
      </c>
      <c r="H522" s="57">
        <v>0</v>
      </c>
      <c r="I522" s="57">
        <v>3</v>
      </c>
      <c r="J522" s="24">
        <v>337182.32</v>
      </c>
    </row>
    <row r="523" spans="1:10" x14ac:dyDescent="0.25">
      <c r="A523" s="20">
        <v>523</v>
      </c>
      <c r="B523" s="21">
        <v>45989</v>
      </c>
      <c r="C523" s="20" t="s">
        <v>474</v>
      </c>
      <c r="D523" s="20" t="s">
        <v>91</v>
      </c>
      <c r="E523" s="20"/>
      <c r="F523" s="22" t="s">
        <v>92</v>
      </c>
      <c r="G523" s="23" t="s">
        <v>280</v>
      </c>
      <c r="H523" s="57">
        <v>0</v>
      </c>
      <c r="I523" s="57">
        <v>5</v>
      </c>
      <c r="J523" s="24">
        <v>837182.32</v>
      </c>
    </row>
    <row r="524" spans="1:10" x14ac:dyDescent="0.25">
      <c r="A524" s="20">
        <v>524</v>
      </c>
      <c r="B524" s="21">
        <v>45989</v>
      </c>
      <c r="C524" s="20" t="s">
        <v>474</v>
      </c>
      <c r="D524" s="20" t="s">
        <v>759</v>
      </c>
      <c r="E524" s="20"/>
      <c r="F524" s="22" t="s">
        <v>778</v>
      </c>
      <c r="G524" s="23" t="s">
        <v>574</v>
      </c>
      <c r="H524" s="57">
        <v>8</v>
      </c>
      <c r="I524" s="57">
        <v>0</v>
      </c>
      <c r="J524" s="24">
        <v>37182.32</v>
      </c>
    </row>
    <row r="525" spans="1:10" x14ac:dyDescent="0.25">
      <c r="A525" s="20">
        <v>525</v>
      </c>
      <c r="B525" s="21">
        <v>45989</v>
      </c>
      <c r="C525" s="20" t="s">
        <v>474</v>
      </c>
      <c r="D525" s="20" t="s">
        <v>497</v>
      </c>
      <c r="E525" s="20"/>
      <c r="F525" s="22" t="s">
        <v>797</v>
      </c>
      <c r="G525" s="23" t="s">
        <v>575</v>
      </c>
      <c r="H525" s="57">
        <v>0</v>
      </c>
      <c r="I525" s="57">
        <v>8.8658400000000004</v>
      </c>
      <c r="J525" s="24">
        <v>923766.32</v>
      </c>
    </row>
    <row r="526" spans="1:10" x14ac:dyDescent="0.25">
      <c r="A526" s="20">
        <v>526</v>
      </c>
      <c r="B526" s="21">
        <v>45989</v>
      </c>
      <c r="C526" s="20" t="s">
        <v>474</v>
      </c>
      <c r="D526" s="20" t="s">
        <v>759</v>
      </c>
      <c r="E526" s="20"/>
      <c r="F526" s="22" t="s">
        <v>778</v>
      </c>
      <c r="G526" s="23" t="s">
        <v>576</v>
      </c>
      <c r="H526" s="57">
        <v>8</v>
      </c>
      <c r="I526" s="57">
        <v>0</v>
      </c>
      <c r="J526" s="24">
        <v>123766.32</v>
      </c>
    </row>
    <row r="527" spans="1:10" x14ac:dyDescent="0.25">
      <c r="A527" s="20">
        <v>527</v>
      </c>
      <c r="B527" s="21">
        <v>45989</v>
      </c>
      <c r="C527" s="20" t="s">
        <v>474</v>
      </c>
      <c r="D527" s="20" t="s">
        <v>759</v>
      </c>
      <c r="E527" s="20"/>
      <c r="F527" s="22" t="s">
        <v>765</v>
      </c>
      <c r="G527" s="23" t="s">
        <v>577</v>
      </c>
      <c r="H527" s="57">
        <v>0.4</v>
      </c>
      <c r="I527" s="57">
        <v>0</v>
      </c>
      <c r="J527" s="24">
        <v>83766.320000000007</v>
      </c>
    </row>
    <row r="528" spans="1:10" x14ac:dyDescent="0.25">
      <c r="A528" s="20">
        <v>528</v>
      </c>
      <c r="B528" s="21">
        <v>45990</v>
      </c>
      <c r="C528" s="20" t="s">
        <v>474</v>
      </c>
      <c r="D528" s="20" t="s">
        <v>497</v>
      </c>
      <c r="E528" s="20"/>
      <c r="F528" s="22" t="s">
        <v>797</v>
      </c>
      <c r="G528" s="23" t="s">
        <v>578</v>
      </c>
      <c r="H528" s="57">
        <v>0</v>
      </c>
      <c r="I528" s="57">
        <v>11.58727</v>
      </c>
      <c r="J528" s="24">
        <v>1242493.32</v>
      </c>
    </row>
    <row r="529" spans="1:10" ht="25.5" x14ac:dyDescent="0.25">
      <c r="A529" s="20">
        <v>529</v>
      </c>
      <c r="B529" s="21">
        <v>45990</v>
      </c>
      <c r="C529" s="20" t="s">
        <v>474</v>
      </c>
      <c r="D529" s="20" t="s">
        <v>91</v>
      </c>
      <c r="E529" s="20"/>
      <c r="F529" s="22" t="s">
        <v>92</v>
      </c>
      <c r="G529" s="23" t="s">
        <v>124</v>
      </c>
      <c r="H529" s="57">
        <v>4</v>
      </c>
      <c r="I529" s="57">
        <v>0</v>
      </c>
      <c r="J529" s="24">
        <v>842493.32</v>
      </c>
    </row>
    <row r="530" spans="1:10" ht="25.5" x14ac:dyDescent="0.25">
      <c r="A530" s="20">
        <v>530</v>
      </c>
      <c r="B530" s="21">
        <v>45990</v>
      </c>
      <c r="C530" s="20" t="s">
        <v>474</v>
      </c>
      <c r="D530" s="20" t="s">
        <v>759</v>
      </c>
      <c r="E530" s="20"/>
      <c r="F530" s="22" t="s">
        <v>765</v>
      </c>
      <c r="G530" s="23" t="s">
        <v>102</v>
      </c>
      <c r="H530" s="57">
        <v>0.5</v>
      </c>
      <c r="I530" s="57">
        <v>0</v>
      </c>
      <c r="J530" s="24">
        <v>792493.32</v>
      </c>
    </row>
    <row r="531" spans="1:10" x14ac:dyDescent="0.25">
      <c r="A531" s="20">
        <v>531</v>
      </c>
      <c r="B531" s="21">
        <v>45990</v>
      </c>
      <c r="C531" s="20" t="s">
        <v>474</v>
      </c>
      <c r="D531" s="20" t="s">
        <v>759</v>
      </c>
      <c r="E531" s="20"/>
      <c r="F531" s="22" t="s">
        <v>778</v>
      </c>
      <c r="G531" s="23" t="s">
        <v>579</v>
      </c>
      <c r="H531" s="57">
        <v>7</v>
      </c>
      <c r="I531" s="57">
        <v>0</v>
      </c>
      <c r="J531" s="24">
        <v>92493.32</v>
      </c>
    </row>
    <row r="532" spans="1:10" x14ac:dyDescent="0.25">
      <c r="A532" s="20">
        <v>532</v>
      </c>
      <c r="B532" s="21">
        <v>45990</v>
      </c>
      <c r="C532" s="20" t="s">
        <v>474</v>
      </c>
      <c r="D532" s="20" t="s">
        <v>497</v>
      </c>
      <c r="E532" s="20"/>
      <c r="F532" s="22" t="s">
        <v>801</v>
      </c>
      <c r="G532" s="23" t="s">
        <v>580</v>
      </c>
      <c r="H532" s="57">
        <v>0</v>
      </c>
      <c r="I532" s="57">
        <v>5</v>
      </c>
      <c r="J532" s="24">
        <v>592493.31999999995</v>
      </c>
    </row>
    <row r="533" spans="1:10" ht="25.5" x14ac:dyDescent="0.25">
      <c r="A533" s="20">
        <v>533</v>
      </c>
      <c r="B533" s="21">
        <v>45992</v>
      </c>
      <c r="C533" s="20" t="s">
        <v>581</v>
      </c>
      <c r="D533" s="20" t="s">
        <v>759</v>
      </c>
      <c r="E533" s="20"/>
      <c r="F533" s="22" t="s">
        <v>789</v>
      </c>
      <c r="G533" s="23" t="s">
        <v>582</v>
      </c>
      <c r="H533" s="57">
        <v>0.1</v>
      </c>
      <c r="I533" s="57">
        <v>0</v>
      </c>
      <c r="J533" s="24">
        <v>582493.31999999995</v>
      </c>
    </row>
    <row r="534" spans="1:10" ht="25.5" x14ac:dyDescent="0.25">
      <c r="A534" s="20">
        <v>534</v>
      </c>
      <c r="B534" s="21">
        <v>45992</v>
      </c>
      <c r="C534" s="20" t="s">
        <v>581</v>
      </c>
      <c r="D534" s="20" t="s">
        <v>497</v>
      </c>
      <c r="E534" s="20"/>
      <c r="F534" s="22" t="s">
        <v>801</v>
      </c>
      <c r="G534" s="23" t="s">
        <v>583</v>
      </c>
      <c r="H534" s="57">
        <v>0</v>
      </c>
      <c r="I534" s="57">
        <v>2.53389</v>
      </c>
      <c r="J534" s="24">
        <v>835882.32</v>
      </c>
    </row>
    <row r="535" spans="1:10" x14ac:dyDescent="0.25">
      <c r="A535" s="20">
        <v>535</v>
      </c>
      <c r="B535" s="21">
        <v>45993</v>
      </c>
      <c r="C535" s="20" t="s">
        <v>581</v>
      </c>
      <c r="D535" s="20" t="s">
        <v>759</v>
      </c>
      <c r="E535" s="20"/>
      <c r="F535" s="22" t="s">
        <v>778</v>
      </c>
      <c r="G535" s="23" t="s">
        <v>584</v>
      </c>
      <c r="H535" s="57">
        <v>8.0079600000000006</v>
      </c>
      <c r="I535" s="57">
        <v>0</v>
      </c>
      <c r="J535" s="24">
        <v>35086.32</v>
      </c>
    </row>
    <row r="536" spans="1:10" ht="25.5" x14ac:dyDescent="0.25">
      <c r="A536" s="20">
        <v>536</v>
      </c>
      <c r="B536" s="21">
        <v>45994</v>
      </c>
      <c r="C536" s="20" t="s">
        <v>581</v>
      </c>
      <c r="D536" s="20" t="s">
        <v>497</v>
      </c>
      <c r="E536" s="20"/>
      <c r="F536" s="22" t="s">
        <v>801</v>
      </c>
      <c r="G536" s="23" t="s">
        <v>585</v>
      </c>
      <c r="H536" s="57">
        <v>0</v>
      </c>
      <c r="I536" s="57">
        <v>2.9055800000000001</v>
      </c>
      <c r="J536" s="24">
        <v>325644.32</v>
      </c>
    </row>
    <row r="537" spans="1:10" x14ac:dyDescent="0.25">
      <c r="A537" s="20">
        <v>537</v>
      </c>
      <c r="B537" s="21">
        <v>45994</v>
      </c>
      <c r="C537" s="20" t="s">
        <v>581</v>
      </c>
      <c r="D537" s="20" t="s">
        <v>787</v>
      </c>
      <c r="E537" s="20">
        <v>1568091</v>
      </c>
      <c r="F537" s="22" t="s">
        <v>763</v>
      </c>
      <c r="G537" s="23" t="s">
        <v>586</v>
      </c>
      <c r="H537" s="57">
        <v>1.1299999999999999</v>
      </c>
      <c r="I537" s="57">
        <v>0</v>
      </c>
      <c r="J537" s="24">
        <v>212644.32</v>
      </c>
    </row>
    <row r="538" spans="1:10" x14ac:dyDescent="0.25">
      <c r="A538" s="20">
        <v>538</v>
      </c>
      <c r="B538" s="21">
        <v>45994</v>
      </c>
      <c r="C538" s="20" t="s">
        <v>581</v>
      </c>
      <c r="D538" s="20" t="s">
        <v>759</v>
      </c>
      <c r="E538" s="20"/>
      <c r="F538" s="22" t="s">
        <v>789</v>
      </c>
      <c r="G538" s="23" t="s">
        <v>587</v>
      </c>
      <c r="H538" s="57">
        <v>0.3</v>
      </c>
      <c r="I538" s="57">
        <v>0</v>
      </c>
      <c r="J538" s="24">
        <v>182644.32</v>
      </c>
    </row>
    <row r="539" spans="1:10" x14ac:dyDescent="0.25">
      <c r="A539" s="20">
        <v>539</v>
      </c>
      <c r="B539" s="21">
        <v>45994</v>
      </c>
      <c r="C539" s="20" t="s">
        <v>581</v>
      </c>
      <c r="D539" s="20" t="s">
        <v>497</v>
      </c>
      <c r="E539" s="20"/>
      <c r="F539" s="22" t="s">
        <v>797</v>
      </c>
      <c r="G539" s="23" t="s">
        <v>588</v>
      </c>
      <c r="H539" s="57">
        <v>0</v>
      </c>
      <c r="I539" s="57">
        <v>10.73992</v>
      </c>
      <c r="J539" s="24">
        <v>1256636.32</v>
      </c>
    </row>
    <row r="540" spans="1:10" x14ac:dyDescent="0.25">
      <c r="A540" s="20">
        <v>540</v>
      </c>
      <c r="B540" s="21">
        <v>45994</v>
      </c>
      <c r="C540" s="20" t="s">
        <v>581</v>
      </c>
      <c r="D540" s="20" t="s">
        <v>759</v>
      </c>
      <c r="E540" s="20"/>
      <c r="F540" s="22" t="s">
        <v>778</v>
      </c>
      <c r="G540" s="23" t="s">
        <v>589</v>
      </c>
      <c r="H540" s="57">
        <v>12</v>
      </c>
      <c r="I540" s="57">
        <v>0</v>
      </c>
      <c r="J540" s="24">
        <v>56636.32</v>
      </c>
    </row>
    <row r="541" spans="1:10" x14ac:dyDescent="0.25">
      <c r="A541" s="20">
        <v>541</v>
      </c>
      <c r="B541" s="21">
        <v>45994</v>
      </c>
      <c r="C541" s="20" t="s">
        <v>581</v>
      </c>
      <c r="D541" s="20" t="s">
        <v>759</v>
      </c>
      <c r="E541" s="20"/>
      <c r="F541" s="22" t="s">
        <v>785</v>
      </c>
      <c r="G541" s="23" t="s">
        <v>134</v>
      </c>
      <c r="H541" s="57">
        <v>7.0000000000000007E-2</v>
      </c>
      <c r="I541" s="57">
        <v>0</v>
      </c>
      <c r="J541" s="24">
        <v>49636.32</v>
      </c>
    </row>
    <row r="542" spans="1:10" ht="25.5" x14ac:dyDescent="0.25">
      <c r="A542" s="20">
        <v>542</v>
      </c>
      <c r="B542" s="21">
        <v>45995</v>
      </c>
      <c r="C542" s="20" t="s">
        <v>581</v>
      </c>
      <c r="D542" s="20" t="s">
        <v>91</v>
      </c>
      <c r="E542" s="20"/>
      <c r="F542" s="22" t="s">
        <v>92</v>
      </c>
      <c r="G542" s="23" t="s">
        <v>590</v>
      </c>
      <c r="H542" s="57">
        <v>0</v>
      </c>
      <c r="I542" s="57">
        <v>20</v>
      </c>
      <c r="J542" s="24">
        <v>2049636.32</v>
      </c>
    </row>
    <row r="543" spans="1:10" x14ac:dyDescent="0.25">
      <c r="A543" s="20">
        <v>543</v>
      </c>
      <c r="B543" s="21">
        <v>45995</v>
      </c>
      <c r="C543" s="20" t="s">
        <v>581</v>
      </c>
      <c r="D543" s="20" t="s">
        <v>759</v>
      </c>
      <c r="E543" s="20"/>
      <c r="F543" s="22" t="s">
        <v>778</v>
      </c>
      <c r="G543" s="23" t="s">
        <v>591</v>
      </c>
      <c r="H543" s="57">
        <v>20</v>
      </c>
      <c r="I543" s="57">
        <v>0</v>
      </c>
      <c r="J543" s="24">
        <v>49636.32</v>
      </c>
    </row>
    <row r="544" spans="1:10" ht="25.5" x14ac:dyDescent="0.25">
      <c r="A544" s="20">
        <v>544</v>
      </c>
      <c r="B544" s="21">
        <v>45995</v>
      </c>
      <c r="C544" s="20" t="s">
        <v>581</v>
      </c>
      <c r="D544" s="20" t="s">
        <v>497</v>
      </c>
      <c r="E544" s="20"/>
      <c r="F544" s="22" t="s">
        <v>801</v>
      </c>
      <c r="G544" s="23" t="s">
        <v>592</v>
      </c>
      <c r="H544" s="57">
        <v>0</v>
      </c>
      <c r="I544" s="57">
        <v>2.4699</v>
      </c>
      <c r="J544" s="24">
        <v>296626.32</v>
      </c>
    </row>
    <row r="545" spans="1:10" x14ac:dyDescent="0.25">
      <c r="A545" s="20">
        <v>545</v>
      </c>
      <c r="B545" s="21">
        <v>45995</v>
      </c>
      <c r="C545" s="20" t="s">
        <v>581</v>
      </c>
      <c r="D545" s="20" t="s">
        <v>497</v>
      </c>
      <c r="E545" s="20"/>
      <c r="F545" s="22" t="s">
        <v>797</v>
      </c>
      <c r="G545" s="23" t="s">
        <v>593</v>
      </c>
      <c r="H545" s="57">
        <v>0</v>
      </c>
      <c r="I545" s="57">
        <v>8.2945899999999995</v>
      </c>
      <c r="J545" s="24">
        <v>1126085.32</v>
      </c>
    </row>
    <row r="546" spans="1:10" x14ac:dyDescent="0.25">
      <c r="A546" s="20">
        <v>546</v>
      </c>
      <c r="B546" s="21">
        <v>45995</v>
      </c>
      <c r="C546" s="20" t="s">
        <v>581</v>
      </c>
      <c r="D546" s="20" t="s">
        <v>140</v>
      </c>
      <c r="E546" s="20"/>
      <c r="F546" s="22" t="s">
        <v>141</v>
      </c>
      <c r="G546" s="23" t="s">
        <v>594</v>
      </c>
      <c r="H546" s="57">
        <v>1.5</v>
      </c>
      <c r="I546" s="57">
        <v>0</v>
      </c>
      <c r="J546" s="24">
        <v>976085.32</v>
      </c>
    </row>
    <row r="547" spans="1:10" ht="25.5" x14ac:dyDescent="0.25">
      <c r="A547" s="20">
        <v>547</v>
      </c>
      <c r="B547" s="21">
        <v>45995</v>
      </c>
      <c r="C547" s="20" t="s">
        <v>581</v>
      </c>
      <c r="D547" s="20" t="s">
        <v>759</v>
      </c>
      <c r="E547" s="20"/>
      <c r="F547" s="22" t="s">
        <v>783</v>
      </c>
      <c r="G547" s="23" t="s">
        <v>595</v>
      </c>
      <c r="H547" s="57">
        <v>1</v>
      </c>
      <c r="I547" s="57">
        <v>0</v>
      </c>
      <c r="J547" s="24">
        <v>876085.32</v>
      </c>
    </row>
    <row r="548" spans="1:10" ht="25.5" x14ac:dyDescent="0.25">
      <c r="A548" s="20">
        <v>548</v>
      </c>
      <c r="B548" s="21">
        <v>45995</v>
      </c>
      <c r="C548" s="20" t="s">
        <v>581</v>
      </c>
      <c r="D548" s="20" t="s">
        <v>759</v>
      </c>
      <c r="E548" s="20"/>
      <c r="F548" s="22" t="s">
        <v>768</v>
      </c>
      <c r="G548" s="23" t="s">
        <v>596</v>
      </c>
      <c r="H548" s="57">
        <v>0.4</v>
      </c>
      <c r="I548" s="57">
        <v>0</v>
      </c>
      <c r="J548" s="24">
        <v>836085.32</v>
      </c>
    </row>
    <row r="549" spans="1:10" ht="25.5" x14ac:dyDescent="0.25">
      <c r="A549" s="20">
        <v>549</v>
      </c>
      <c r="B549" s="21">
        <v>45995</v>
      </c>
      <c r="C549" s="20" t="s">
        <v>581</v>
      </c>
      <c r="D549" s="20" t="s">
        <v>759</v>
      </c>
      <c r="E549" s="20"/>
      <c r="F549" s="22" t="s">
        <v>772</v>
      </c>
      <c r="G549" s="23" t="s">
        <v>597</v>
      </c>
      <c r="H549" s="57">
        <v>0.5</v>
      </c>
      <c r="I549" s="57">
        <v>0</v>
      </c>
      <c r="J549" s="24">
        <v>786085.32</v>
      </c>
    </row>
    <row r="550" spans="1:10" ht="25.5" x14ac:dyDescent="0.25">
      <c r="A550" s="20">
        <v>550</v>
      </c>
      <c r="B550" s="21">
        <v>45995</v>
      </c>
      <c r="C550" s="20" t="s">
        <v>581</v>
      </c>
      <c r="D550" s="20" t="s">
        <v>759</v>
      </c>
      <c r="E550" s="20"/>
      <c r="F550" s="22" t="s">
        <v>762</v>
      </c>
      <c r="G550" s="23" t="s">
        <v>598</v>
      </c>
      <c r="H550" s="57">
        <v>0.5</v>
      </c>
      <c r="I550" s="57">
        <v>0</v>
      </c>
      <c r="J550" s="24">
        <v>736085.32</v>
      </c>
    </row>
    <row r="551" spans="1:10" x14ac:dyDescent="0.25">
      <c r="A551" s="20">
        <v>551</v>
      </c>
      <c r="B551" s="21">
        <v>45996</v>
      </c>
      <c r="C551" s="20" t="s">
        <v>581</v>
      </c>
      <c r="D551" s="20" t="s">
        <v>91</v>
      </c>
      <c r="E551" s="20"/>
      <c r="F551" s="22" t="s">
        <v>92</v>
      </c>
      <c r="G551" s="23" t="s">
        <v>280</v>
      </c>
      <c r="H551" s="57">
        <v>0</v>
      </c>
      <c r="I551" s="57">
        <v>10</v>
      </c>
      <c r="J551" s="24">
        <v>1736085.32</v>
      </c>
    </row>
    <row r="552" spans="1:10" x14ac:dyDescent="0.25">
      <c r="A552" s="20">
        <v>552</v>
      </c>
      <c r="B552" s="21">
        <v>45996</v>
      </c>
      <c r="C552" s="20" t="s">
        <v>581</v>
      </c>
      <c r="D552" s="20" t="s">
        <v>759</v>
      </c>
      <c r="E552" s="20"/>
      <c r="F552" s="22" t="s">
        <v>778</v>
      </c>
      <c r="G552" s="23" t="s">
        <v>599</v>
      </c>
      <c r="H552" s="57">
        <v>10</v>
      </c>
      <c r="I552" s="57">
        <v>0</v>
      </c>
      <c r="J552" s="24">
        <v>736085.32</v>
      </c>
    </row>
    <row r="553" spans="1:10" x14ac:dyDescent="0.25">
      <c r="A553" s="20">
        <v>553</v>
      </c>
      <c r="B553" s="21">
        <v>45996</v>
      </c>
      <c r="C553" s="20" t="s">
        <v>581</v>
      </c>
      <c r="D553" s="20" t="s">
        <v>759</v>
      </c>
      <c r="E553" s="20"/>
      <c r="F553" s="22" t="s">
        <v>765</v>
      </c>
      <c r="G553" s="23" t="s">
        <v>600</v>
      </c>
      <c r="H553" s="57">
        <v>0.85</v>
      </c>
      <c r="I553" s="57">
        <v>0</v>
      </c>
      <c r="J553" s="24">
        <v>651085.31999999995</v>
      </c>
    </row>
    <row r="554" spans="1:10" x14ac:dyDescent="0.25">
      <c r="A554" s="20">
        <v>554</v>
      </c>
      <c r="B554" s="21">
        <v>45996</v>
      </c>
      <c r="C554" s="20" t="s">
        <v>581</v>
      </c>
      <c r="D554" s="20" t="s">
        <v>497</v>
      </c>
      <c r="E554" s="20"/>
      <c r="F554" s="22" t="s">
        <v>797</v>
      </c>
      <c r="G554" s="23" t="s">
        <v>601</v>
      </c>
      <c r="H554" s="57">
        <v>0</v>
      </c>
      <c r="I554" s="57">
        <v>7.9956300000000002</v>
      </c>
      <c r="J554" s="24">
        <v>1450648.32</v>
      </c>
    </row>
    <row r="555" spans="1:10" x14ac:dyDescent="0.25">
      <c r="A555" s="20">
        <v>555</v>
      </c>
      <c r="B555" s="21">
        <v>45996</v>
      </c>
      <c r="C555" s="20" t="s">
        <v>581</v>
      </c>
      <c r="D555" s="20" t="s">
        <v>746</v>
      </c>
      <c r="E555" s="20"/>
      <c r="F555" s="22" t="s">
        <v>757</v>
      </c>
      <c r="G555" s="23" t="s">
        <v>602</v>
      </c>
      <c r="H555" s="57">
        <v>3.4228200000000002</v>
      </c>
      <c r="I555" s="57">
        <v>0</v>
      </c>
      <c r="J555" s="24">
        <v>1108366.32</v>
      </c>
    </row>
    <row r="556" spans="1:10" x14ac:dyDescent="0.25">
      <c r="A556" s="20">
        <v>556</v>
      </c>
      <c r="B556" s="21">
        <v>45996</v>
      </c>
      <c r="C556" s="20" t="s">
        <v>581</v>
      </c>
      <c r="D556" s="20" t="s">
        <v>746</v>
      </c>
      <c r="E556" s="20"/>
      <c r="F556" s="22" t="s">
        <v>757</v>
      </c>
      <c r="G556" s="23" t="s">
        <v>603</v>
      </c>
      <c r="H556" s="57">
        <v>0.12706999999999999</v>
      </c>
      <c r="I556" s="57">
        <v>0</v>
      </c>
      <c r="J556" s="24">
        <v>1095659.32</v>
      </c>
    </row>
    <row r="557" spans="1:10" ht="25.5" x14ac:dyDescent="0.25">
      <c r="A557" s="20">
        <v>557</v>
      </c>
      <c r="B557" s="21">
        <v>45996</v>
      </c>
      <c r="C557" s="20" t="s">
        <v>581</v>
      </c>
      <c r="D557" s="20" t="s">
        <v>497</v>
      </c>
      <c r="E557" s="20"/>
      <c r="F557" s="22" t="s">
        <v>801</v>
      </c>
      <c r="G557" s="23" t="s">
        <v>604</v>
      </c>
      <c r="H557" s="57">
        <v>0</v>
      </c>
      <c r="I557" s="57">
        <v>3</v>
      </c>
      <c r="J557" s="24">
        <v>1395659.32</v>
      </c>
    </row>
    <row r="558" spans="1:10" x14ac:dyDescent="0.25">
      <c r="A558" s="20">
        <v>558</v>
      </c>
      <c r="B558" s="21">
        <v>45997</v>
      </c>
      <c r="C558" s="20" t="s">
        <v>581</v>
      </c>
      <c r="D558" s="20" t="s">
        <v>787</v>
      </c>
      <c r="E558" s="20">
        <v>1568100</v>
      </c>
      <c r="F558" s="22" t="s">
        <v>790</v>
      </c>
      <c r="G558" s="23" t="s">
        <v>605</v>
      </c>
      <c r="H558" s="57">
        <v>1</v>
      </c>
      <c r="I558" s="57">
        <v>0</v>
      </c>
      <c r="J558" s="24">
        <v>1295659.32</v>
      </c>
    </row>
    <row r="559" spans="1:10" x14ac:dyDescent="0.25">
      <c r="A559" s="20">
        <v>559</v>
      </c>
      <c r="B559" s="21">
        <v>45997</v>
      </c>
      <c r="C559" s="20" t="s">
        <v>581</v>
      </c>
      <c r="D559" s="20" t="s">
        <v>497</v>
      </c>
      <c r="E559" s="20"/>
      <c r="F559" s="22" t="s">
        <v>797</v>
      </c>
      <c r="G559" s="23" t="s">
        <v>606</v>
      </c>
      <c r="H559" s="57">
        <v>0</v>
      </c>
      <c r="I559" s="57">
        <v>5.8287399999999998</v>
      </c>
      <c r="J559" s="24">
        <v>1878533.32</v>
      </c>
    </row>
    <row r="560" spans="1:10" x14ac:dyDescent="0.25">
      <c r="A560" s="20">
        <v>560</v>
      </c>
      <c r="B560" s="21">
        <v>45997</v>
      </c>
      <c r="C560" s="20" t="s">
        <v>581</v>
      </c>
      <c r="D560" s="20" t="s">
        <v>759</v>
      </c>
      <c r="E560" s="20"/>
      <c r="F560" s="22" t="s">
        <v>784</v>
      </c>
      <c r="G560" s="23" t="s">
        <v>607</v>
      </c>
      <c r="H560" s="57">
        <v>0.66</v>
      </c>
      <c r="I560" s="57">
        <v>0</v>
      </c>
      <c r="J560" s="24">
        <v>1812533.32</v>
      </c>
    </row>
    <row r="561" spans="1:10" x14ac:dyDescent="0.25">
      <c r="A561" s="20">
        <v>561</v>
      </c>
      <c r="B561" s="21">
        <v>45997</v>
      </c>
      <c r="C561" s="20" t="s">
        <v>581</v>
      </c>
      <c r="D561" s="25" t="s">
        <v>759</v>
      </c>
      <c r="E561" s="20"/>
      <c r="F561" s="22" t="s">
        <v>773</v>
      </c>
      <c r="G561" s="23" t="s">
        <v>608</v>
      </c>
      <c r="H561" s="57">
        <v>2.1970000000000001</v>
      </c>
      <c r="I561" s="57">
        <v>0</v>
      </c>
      <c r="J561" s="24">
        <v>1592833.32</v>
      </c>
    </row>
    <row r="562" spans="1:10" ht="25.5" x14ac:dyDescent="0.25">
      <c r="A562" s="20">
        <v>562</v>
      </c>
      <c r="B562" s="21">
        <v>45997</v>
      </c>
      <c r="C562" s="20" t="s">
        <v>581</v>
      </c>
      <c r="D562" s="25" t="s">
        <v>759</v>
      </c>
      <c r="E562" s="20"/>
      <c r="F562" s="22" t="s">
        <v>769</v>
      </c>
      <c r="G562" s="23" t="s">
        <v>609</v>
      </c>
      <c r="H562" s="57">
        <v>0.63741000000000003</v>
      </c>
      <c r="I562" s="57">
        <v>0</v>
      </c>
      <c r="J562" s="24">
        <v>1529092.32</v>
      </c>
    </row>
    <row r="563" spans="1:10" x14ac:dyDescent="0.25">
      <c r="A563" s="20">
        <v>563</v>
      </c>
      <c r="B563" s="21">
        <v>45997</v>
      </c>
      <c r="C563" s="20" t="s">
        <v>581</v>
      </c>
      <c r="D563" s="20" t="s">
        <v>759</v>
      </c>
      <c r="E563" s="20"/>
      <c r="F563" s="22" t="s">
        <v>766</v>
      </c>
      <c r="G563" s="23" t="s">
        <v>610</v>
      </c>
      <c r="H563" s="57">
        <v>0.69294</v>
      </c>
      <c r="I563" s="57">
        <v>0</v>
      </c>
      <c r="J563" s="24">
        <v>1459798.32</v>
      </c>
    </row>
    <row r="564" spans="1:10" ht="25.5" x14ac:dyDescent="0.25">
      <c r="A564" s="20">
        <v>564</v>
      </c>
      <c r="B564" s="21">
        <v>45997</v>
      </c>
      <c r="C564" s="20" t="s">
        <v>581</v>
      </c>
      <c r="D564" s="25" t="s">
        <v>759</v>
      </c>
      <c r="E564" s="20"/>
      <c r="F564" s="22" t="s">
        <v>776</v>
      </c>
      <c r="G564" s="23" t="s">
        <v>611</v>
      </c>
      <c r="H564" s="57">
        <v>1.4244000000000001</v>
      </c>
      <c r="I564" s="57">
        <v>0</v>
      </c>
      <c r="J564" s="24">
        <v>1317358.32</v>
      </c>
    </row>
    <row r="565" spans="1:10" x14ac:dyDescent="0.25">
      <c r="A565" s="20">
        <v>565</v>
      </c>
      <c r="B565" s="21">
        <v>45997</v>
      </c>
      <c r="C565" s="20" t="s">
        <v>581</v>
      </c>
      <c r="D565" s="20" t="s">
        <v>759</v>
      </c>
      <c r="E565" s="20"/>
      <c r="F565" s="22" t="s">
        <v>778</v>
      </c>
      <c r="G565" s="23" t="s">
        <v>612</v>
      </c>
      <c r="H565" s="57">
        <v>10</v>
      </c>
      <c r="I565" s="57">
        <v>0</v>
      </c>
      <c r="J565" s="24">
        <v>317358.32</v>
      </c>
    </row>
    <row r="566" spans="1:10" x14ac:dyDescent="0.25">
      <c r="A566" s="20">
        <v>566</v>
      </c>
      <c r="B566" s="21">
        <v>45997</v>
      </c>
      <c r="C566" s="20" t="s">
        <v>581</v>
      </c>
      <c r="D566" s="20" t="s">
        <v>746</v>
      </c>
      <c r="E566" s="20"/>
      <c r="F566" s="22" t="s">
        <v>125</v>
      </c>
      <c r="G566" s="23" t="s">
        <v>613</v>
      </c>
      <c r="H566" s="57">
        <v>2.0357799999999999</v>
      </c>
      <c r="I566" s="57">
        <v>0</v>
      </c>
      <c r="J566" s="24">
        <v>113780.32</v>
      </c>
    </row>
    <row r="567" spans="1:10" x14ac:dyDescent="0.25">
      <c r="A567" s="20">
        <v>567</v>
      </c>
      <c r="B567" s="21">
        <v>45997</v>
      </c>
      <c r="C567" s="20" t="s">
        <v>581</v>
      </c>
      <c r="D567" s="20" t="s">
        <v>140</v>
      </c>
      <c r="E567" s="20"/>
      <c r="F567" s="22" t="s">
        <v>141</v>
      </c>
      <c r="G567" s="23" t="s">
        <v>614</v>
      </c>
      <c r="H567" s="57">
        <v>1</v>
      </c>
      <c r="I567" s="57">
        <v>0</v>
      </c>
      <c r="J567" s="24">
        <v>13780.32</v>
      </c>
    </row>
    <row r="568" spans="1:10" ht="25.5" x14ac:dyDescent="0.25">
      <c r="A568" s="20">
        <v>568</v>
      </c>
      <c r="B568" s="21">
        <v>45999</v>
      </c>
      <c r="C568" s="20" t="s">
        <v>581</v>
      </c>
      <c r="D568" s="20" t="s">
        <v>497</v>
      </c>
      <c r="E568" s="20"/>
      <c r="F568" s="22" t="s">
        <v>801</v>
      </c>
      <c r="G568" s="23" t="s">
        <v>615</v>
      </c>
      <c r="H568" s="57">
        <v>0</v>
      </c>
      <c r="I568" s="57">
        <v>3</v>
      </c>
      <c r="J568" s="24">
        <v>313780.32</v>
      </c>
    </row>
    <row r="569" spans="1:10" x14ac:dyDescent="0.25">
      <c r="A569" s="20">
        <v>569</v>
      </c>
      <c r="B569" s="21">
        <v>45999</v>
      </c>
      <c r="C569" s="20" t="s">
        <v>581</v>
      </c>
      <c r="D569" s="20" t="s">
        <v>752</v>
      </c>
      <c r="E569" s="20"/>
      <c r="F569" s="22" t="s">
        <v>749</v>
      </c>
      <c r="G569" s="23" t="s">
        <v>616</v>
      </c>
      <c r="H569" s="57">
        <v>0</v>
      </c>
      <c r="I569" s="57">
        <v>5</v>
      </c>
      <c r="J569" s="24">
        <v>813780.32</v>
      </c>
    </row>
    <row r="570" spans="1:10" x14ac:dyDescent="0.25">
      <c r="A570" s="20">
        <v>570</v>
      </c>
      <c r="B570" s="21">
        <v>45999</v>
      </c>
      <c r="C570" s="20" t="s">
        <v>581</v>
      </c>
      <c r="D570" s="20" t="s">
        <v>746</v>
      </c>
      <c r="E570" s="20"/>
      <c r="F570" s="22" t="s">
        <v>298</v>
      </c>
      <c r="G570" s="23" t="s">
        <v>543</v>
      </c>
      <c r="H570" s="57">
        <v>2E-3</v>
      </c>
      <c r="I570" s="57">
        <v>0</v>
      </c>
      <c r="J570" s="24">
        <v>813580.32</v>
      </c>
    </row>
    <row r="571" spans="1:10" x14ac:dyDescent="0.25">
      <c r="A571" s="20">
        <v>571</v>
      </c>
      <c r="B571" s="21">
        <v>45999</v>
      </c>
      <c r="C571" s="20" t="s">
        <v>581</v>
      </c>
      <c r="D571" s="20" t="s">
        <v>140</v>
      </c>
      <c r="E571" s="20"/>
      <c r="F571" s="22" t="s">
        <v>141</v>
      </c>
      <c r="G571" s="23" t="s">
        <v>617</v>
      </c>
      <c r="H571" s="57">
        <v>2</v>
      </c>
      <c r="I571" s="57">
        <v>0</v>
      </c>
      <c r="J571" s="24">
        <v>613580.31999999995</v>
      </c>
    </row>
    <row r="572" spans="1:10" ht="25.5" x14ac:dyDescent="0.25">
      <c r="A572" s="20">
        <v>572</v>
      </c>
      <c r="B572" s="21">
        <v>45999</v>
      </c>
      <c r="C572" s="20" t="s">
        <v>581</v>
      </c>
      <c r="D572" s="20" t="s">
        <v>787</v>
      </c>
      <c r="E572" s="20">
        <v>1568106</v>
      </c>
      <c r="F572" s="22" t="s">
        <v>786</v>
      </c>
      <c r="G572" s="23" t="s">
        <v>618</v>
      </c>
      <c r="H572" s="57">
        <v>3</v>
      </c>
      <c r="I572" s="57">
        <v>0</v>
      </c>
      <c r="J572" s="24">
        <v>313580.32</v>
      </c>
    </row>
    <row r="573" spans="1:10" x14ac:dyDescent="0.25">
      <c r="A573" s="20">
        <v>573</v>
      </c>
      <c r="B573" s="21">
        <v>45999</v>
      </c>
      <c r="C573" s="20" t="s">
        <v>581</v>
      </c>
      <c r="D573" s="20" t="s">
        <v>497</v>
      </c>
      <c r="E573" s="20"/>
      <c r="F573" s="22" t="s">
        <v>797</v>
      </c>
      <c r="G573" s="23" t="s">
        <v>619</v>
      </c>
      <c r="H573" s="57">
        <v>0</v>
      </c>
      <c r="I573" s="57">
        <v>3.8311999999999999</v>
      </c>
      <c r="J573" s="24">
        <v>696700.32</v>
      </c>
    </row>
    <row r="574" spans="1:10" ht="25.5" x14ac:dyDescent="0.25">
      <c r="A574" s="20">
        <v>574</v>
      </c>
      <c r="B574" s="21">
        <v>45999</v>
      </c>
      <c r="C574" s="20" t="s">
        <v>581</v>
      </c>
      <c r="D574" s="20" t="s">
        <v>759</v>
      </c>
      <c r="E574" s="20"/>
      <c r="F574" s="22" t="s">
        <v>770</v>
      </c>
      <c r="G574" s="23" t="s">
        <v>620</v>
      </c>
      <c r="H574" s="57">
        <v>0.55000000000000004</v>
      </c>
      <c r="I574" s="57">
        <v>0</v>
      </c>
      <c r="J574" s="24">
        <v>641700.31999999995</v>
      </c>
    </row>
    <row r="575" spans="1:10" x14ac:dyDescent="0.25">
      <c r="A575" s="20">
        <v>575</v>
      </c>
      <c r="B575" s="21">
        <v>46000</v>
      </c>
      <c r="C575" s="20" t="s">
        <v>581</v>
      </c>
      <c r="D575" s="20" t="s">
        <v>91</v>
      </c>
      <c r="E575" s="20"/>
      <c r="F575" s="22" t="s">
        <v>92</v>
      </c>
      <c r="G575" s="23" t="s">
        <v>95</v>
      </c>
      <c r="H575" s="57">
        <v>0</v>
      </c>
      <c r="I575" s="57">
        <v>1</v>
      </c>
      <c r="J575" s="24">
        <v>741700.32</v>
      </c>
    </row>
    <row r="576" spans="1:10" ht="25.5" x14ac:dyDescent="0.25">
      <c r="A576" s="20">
        <v>576</v>
      </c>
      <c r="B576" s="21">
        <v>46000</v>
      </c>
      <c r="C576" s="20" t="s">
        <v>581</v>
      </c>
      <c r="D576" s="20" t="s">
        <v>759</v>
      </c>
      <c r="E576" s="20"/>
      <c r="F576" s="22" t="s">
        <v>774</v>
      </c>
      <c r="G576" s="23" t="s">
        <v>621</v>
      </c>
      <c r="H576" s="57">
        <v>7</v>
      </c>
      <c r="I576" s="57">
        <v>0</v>
      </c>
      <c r="J576" s="24">
        <v>41700.32</v>
      </c>
    </row>
    <row r="577" spans="1:10" x14ac:dyDescent="0.25">
      <c r="A577" s="20">
        <v>577</v>
      </c>
      <c r="B577" s="21">
        <v>46000</v>
      </c>
      <c r="C577" s="20" t="s">
        <v>581</v>
      </c>
      <c r="D577" s="20" t="s">
        <v>497</v>
      </c>
      <c r="E577" s="20"/>
      <c r="F577" s="22" t="s">
        <v>797</v>
      </c>
      <c r="G577" s="23" t="s">
        <v>622</v>
      </c>
      <c r="H577" s="57">
        <v>0</v>
      </c>
      <c r="I577" s="57">
        <v>8.5573599999999992</v>
      </c>
      <c r="J577" s="24">
        <v>897436.32</v>
      </c>
    </row>
    <row r="578" spans="1:10" ht="25.5" x14ac:dyDescent="0.25">
      <c r="A578" s="20">
        <v>578</v>
      </c>
      <c r="B578" s="21">
        <v>46000</v>
      </c>
      <c r="C578" s="20" t="s">
        <v>581</v>
      </c>
      <c r="D578" s="20" t="s">
        <v>759</v>
      </c>
      <c r="E578" s="20"/>
      <c r="F578" s="22" t="s">
        <v>774</v>
      </c>
      <c r="G578" s="23" t="s">
        <v>623</v>
      </c>
      <c r="H578" s="57">
        <v>8</v>
      </c>
      <c r="I578" s="57">
        <v>0</v>
      </c>
      <c r="J578" s="24">
        <v>97436.32</v>
      </c>
    </row>
    <row r="579" spans="1:10" ht="25.5" x14ac:dyDescent="0.25">
      <c r="A579" s="20">
        <v>579</v>
      </c>
      <c r="B579" s="21">
        <v>46000</v>
      </c>
      <c r="C579" s="20" t="s">
        <v>581</v>
      </c>
      <c r="D579" s="20" t="s">
        <v>497</v>
      </c>
      <c r="E579" s="20"/>
      <c r="F579" s="22" t="s">
        <v>801</v>
      </c>
      <c r="G579" s="23" t="s">
        <v>624</v>
      </c>
      <c r="H579" s="57">
        <v>0</v>
      </c>
      <c r="I579" s="57">
        <v>3</v>
      </c>
      <c r="J579" s="24">
        <v>397436.32</v>
      </c>
    </row>
    <row r="580" spans="1:10" ht="25.5" x14ac:dyDescent="0.25">
      <c r="A580" s="20">
        <v>580</v>
      </c>
      <c r="B580" s="21">
        <v>46001</v>
      </c>
      <c r="C580" s="20" t="s">
        <v>581</v>
      </c>
      <c r="D580" s="20" t="s">
        <v>497</v>
      </c>
      <c r="E580" s="20"/>
      <c r="F580" s="22" t="s">
        <v>801</v>
      </c>
      <c r="G580" s="23" t="s">
        <v>625</v>
      </c>
      <c r="H580" s="57">
        <v>0</v>
      </c>
      <c r="I580" s="57">
        <v>1</v>
      </c>
      <c r="J580" s="24">
        <v>497436.32</v>
      </c>
    </row>
    <row r="581" spans="1:10" ht="25.5" x14ac:dyDescent="0.25">
      <c r="A581" s="20">
        <v>581</v>
      </c>
      <c r="B581" s="21">
        <v>46001</v>
      </c>
      <c r="C581" s="20" t="s">
        <v>581</v>
      </c>
      <c r="D581" s="20" t="s">
        <v>497</v>
      </c>
      <c r="E581" s="20"/>
      <c r="F581" s="22" t="s">
        <v>801</v>
      </c>
      <c r="G581" s="23" t="s">
        <v>626</v>
      </c>
      <c r="H581" s="57">
        <v>0</v>
      </c>
      <c r="I581" s="57">
        <v>5</v>
      </c>
      <c r="J581" s="24">
        <v>997436.32</v>
      </c>
    </row>
    <row r="582" spans="1:10" ht="25.5" x14ac:dyDescent="0.25">
      <c r="A582" s="20">
        <v>582</v>
      </c>
      <c r="B582" s="21">
        <v>46001</v>
      </c>
      <c r="C582" s="20" t="s">
        <v>581</v>
      </c>
      <c r="D582" s="20" t="s">
        <v>759</v>
      </c>
      <c r="E582" s="20"/>
      <c r="F582" s="22" t="s">
        <v>774</v>
      </c>
      <c r="G582" s="23" t="s">
        <v>627</v>
      </c>
      <c r="H582" s="57">
        <v>9</v>
      </c>
      <c r="I582" s="57">
        <v>0</v>
      </c>
      <c r="J582" s="24">
        <v>97436.32</v>
      </c>
    </row>
    <row r="583" spans="1:10" x14ac:dyDescent="0.25">
      <c r="A583" s="20">
        <v>583</v>
      </c>
      <c r="B583" s="21">
        <v>46001</v>
      </c>
      <c r="C583" s="20" t="s">
        <v>581</v>
      </c>
      <c r="D583" s="20" t="s">
        <v>497</v>
      </c>
      <c r="E583" s="20"/>
      <c r="F583" s="22" t="s">
        <v>797</v>
      </c>
      <c r="G583" s="23" t="s">
        <v>628</v>
      </c>
      <c r="H583" s="57">
        <v>0</v>
      </c>
      <c r="I583" s="57">
        <v>13.9557</v>
      </c>
      <c r="J583" s="24">
        <v>1493006.32</v>
      </c>
    </row>
    <row r="584" spans="1:10" ht="25.5" x14ac:dyDescent="0.25">
      <c r="A584" s="20">
        <v>584</v>
      </c>
      <c r="B584" s="21">
        <v>46001</v>
      </c>
      <c r="C584" s="20" t="s">
        <v>581</v>
      </c>
      <c r="D584" s="20" t="s">
        <v>759</v>
      </c>
      <c r="E584" s="20"/>
      <c r="F584" s="22" t="s">
        <v>774</v>
      </c>
      <c r="G584" s="23" t="s">
        <v>629</v>
      </c>
      <c r="H584" s="57">
        <v>14</v>
      </c>
      <c r="I584" s="57">
        <v>0</v>
      </c>
      <c r="J584" s="24">
        <v>93006.32</v>
      </c>
    </row>
    <row r="585" spans="1:10" x14ac:dyDescent="0.25">
      <c r="A585" s="20">
        <v>585</v>
      </c>
      <c r="B585" s="21">
        <v>46002</v>
      </c>
      <c r="C585" s="20" t="s">
        <v>581</v>
      </c>
      <c r="D585" s="20" t="s">
        <v>91</v>
      </c>
      <c r="E585" s="20"/>
      <c r="F585" s="22" t="s">
        <v>92</v>
      </c>
      <c r="G585" s="23" t="s">
        <v>280</v>
      </c>
      <c r="H585" s="57">
        <v>0</v>
      </c>
      <c r="I585" s="57">
        <v>7</v>
      </c>
      <c r="J585" s="24">
        <v>793006.32</v>
      </c>
    </row>
    <row r="586" spans="1:10" x14ac:dyDescent="0.25">
      <c r="A586" s="20">
        <v>586</v>
      </c>
      <c r="B586" s="21">
        <v>46002</v>
      </c>
      <c r="C586" s="20" t="s">
        <v>581</v>
      </c>
      <c r="D586" s="20" t="s">
        <v>759</v>
      </c>
      <c r="E586" s="20"/>
      <c r="F586" s="22" t="s">
        <v>778</v>
      </c>
      <c r="G586" s="23" t="s">
        <v>630</v>
      </c>
      <c r="H586" s="57">
        <v>7.5</v>
      </c>
      <c r="I586" s="57">
        <v>0</v>
      </c>
      <c r="J586" s="24">
        <v>43006.32</v>
      </c>
    </row>
    <row r="587" spans="1:10" x14ac:dyDescent="0.25">
      <c r="A587" s="20">
        <v>587</v>
      </c>
      <c r="B587" s="21">
        <v>46002</v>
      </c>
      <c r="C587" s="20" t="s">
        <v>581</v>
      </c>
      <c r="D587" s="20" t="s">
        <v>497</v>
      </c>
      <c r="E587" s="20"/>
      <c r="F587" s="22" t="s">
        <v>797</v>
      </c>
      <c r="G587" s="23" t="s">
        <v>631</v>
      </c>
      <c r="H587" s="57">
        <v>0</v>
      </c>
      <c r="I587" s="57">
        <v>2.5458799999999999</v>
      </c>
      <c r="J587" s="24">
        <v>297594.32</v>
      </c>
    </row>
    <row r="588" spans="1:10" x14ac:dyDescent="0.25">
      <c r="A588" s="20">
        <v>588</v>
      </c>
      <c r="B588" s="21">
        <v>46002</v>
      </c>
      <c r="C588" s="20" t="s">
        <v>581</v>
      </c>
      <c r="D588" s="20" t="s">
        <v>497</v>
      </c>
      <c r="E588" s="20"/>
      <c r="F588" s="22" t="s">
        <v>498</v>
      </c>
      <c r="G588" s="23" t="s">
        <v>499</v>
      </c>
      <c r="H588" s="57">
        <v>0</v>
      </c>
      <c r="I588" s="57">
        <v>7</v>
      </c>
      <c r="J588" s="24">
        <v>997594.32</v>
      </c>
    </row>
    <row r="589" spans="1:10" x14ac:dyDescent="0.25">
      <c r="A589" s="20">
        <v>589</v>
      </c>
      <c r="B589" s="21">
        <v>46002</v>
      </c>
      <c r="C589" s="20" t="s">
        <v>581</v>
      </c>
      <c r="D589" s="20" t="s">
        <v>759</v>
      </c>
      <c r="E589" s="20"/>
      <c r="F589" s="22" t="s">
        <v>778</v>
      </c>
      <c r="G589" s="23" t="s">
        <v>632</v>
      </c>
      <c r="H589" s="57">
        <v>9</v>
      </c>
      <c r="I589" s="57">
        <v>0</v>
      </c>
      <c r="J589" s="24">
        <v>97594.32</v>
      </c>
    </row>
    <row r="590" spans="1:10" ht="25.5" x14ac:dyDescent="0.25">
      <c r="A590" s="20">
        <v>590</v>
      </c>
      <c r="B590" s="21">
        <v>46002</v>
      </c>
      <c r="C590" s="20" t="s">
        <v>581</v>
      </c>
      <c r="D590" s="20" t="s">
        <v>497</v>
      </c>
      <c r="E590" s="20"/>
      <c r="F590" s="22" t="s">
        <v>801</v>
      </c>
      <c r="G590" s="23" t="s">
        <v>633</v>
      </c>
      <c r="H590" s="57">
        <v>0</v>
      </c>
      <c r="I590" s="57">
        <v>3</v>
      </c>
      <c r="J590" s="24">
        <v>397594.32</v>
      </c>
    </row>
    <row r="591" spans="1:10" x14ac:dyDescent="0.25">
      <c r="A591" s="20">
        <v>591</v>
      </c>
      <c r="B591" s="21">
        <v>46003</v>
      </c>
      <c r="C591" s="20" t="s">
        <v>581</v>
      </c>
      <c r="D591" s="20" t="s">
        <v>752</v>
      </c>
      <c r="E591" s="20"/>
      <c r="F591" s="22" t="s">
        <v>753</v>
      </c>
      <c r="G591" s="23" t="s">
        <v>146</v>
      </c>
      <c r="H591" s="57">
        <v>0.42004000000000002</v>
      </c>
      <c r="I591" s="57">
        <v>0</v>
      </c>
      <c r="J591" s="24">
        <v>355590.32</v>
      </c>
    </row>
    <row r="592" spans="1:10" ht="25.5" x14ac:dyDescent="0.25">
      <c r="A592" s="20">
        <v>592</v>
      </c>
      <c r="B592" s="21">
        <v>46003</v>
      </c>
      <c r="C592" s="20" t="s">
        <v>581</v>
      </c>
      <c r="D592" s="20" t="s">
        <v>497</v>
      </c>
      <c r="E592" s="20"/>
      <c r="F592" s="22" t="s">
        <v>801</v>
      </c>
      <c r="G592" s="23" t="s">
        <v>634</v>
      </c>
      <c r="H592" s="57">
        <v>0</v>
      </c>
      <c r="I592" s="57">
        <v>5</v>
      </c>
      <c r="J592" s="24">
        <v>855590.32</v>
      </c>
    </row>
    <row r="593" spans="1:10" ht="25.5" x14ac:dyDescent="0.25">
      <c r="A593" s="20">
        <v>593</v>
      </c>
      <c r="B593" s="21">
        <v>46003</v>
      </c>
      <c r="C593" s="20" t="s">
        <v>581</v>
      </c>
      <c r="D593" s="20" t="s">
        <v>759</v>
      </c>
      <c r="E593" s="20"/>
      <c r="F593" s="22" t="s">
        <v>774</v>
      </c>
      <c r="G593" s="23" t="s">
        <v>635</v>
      </c>
      <c r="H593" s="57">
        <v>8</v>
      </c>
      <c r="I593" s="57">
        <v>0</v>
      </c>
      <c r="J593" s="24">
        <v>55590.32</v>
      </c>
    </row>
    <row r="594" spans="1:10" x14ac:dyDescent="0.25">
      <c r="A594" s="20">
        <v>594</v>
      </c>
      <c r="B594" s="21">
        <v>46003</v>
      </c>
      <c r="C594" s="20" t="s">
        <v>581</v>
      </c>
      <c r="D594" s="20" t="s">
        <v>497</v>
      </c>
      <c r="E594" s="20"/>
      <c r="F594" s="22" t="s">
        <v>797</v>
      </c>
      <c r="G594" s="23" t="s">
        <v>636</v>
      </c>
      <c r="H594" s="57">
        <v>0</v>
      </c>
      <c r="I594" s="57">
        <v>8.1651000000000007</v>
      </c>
      <c r="J594" s="24">
        <v>872100.32</v>
      </c>
    </row>
    <row r="595" spans="1:10" x14ac:dyDescent="0.25">
      <c r="A595" s="20">
        <v>595</v>
      </c>
      <c r="B595" s="21">
        <v>46003</v>
      </c>
      <c r="C595" s="20" t="s">
        <v>581</v>
      </c>
      <c r="D595" s="20" t="s">
        <v>809</v>
      </c>
      <c r="E595" s="20"/>
      <c r="F595" s="22" t="s">
        <v>810</v>
      </c>
      <c r="G595" s="23" t="s">
        <v>637</v>
      </c>
      <c r="H595" s="57">
        <v>0</v>
      </c>
      <c r="I595" s="57">
        <v>4</v>
      </c>
      <c r="J595" s="24">
        <v>1272100.32</v>
      </c>
    </row>
    <row r="596" spans="1:10" x14ac:dyDescent="0.25">
      <c r="A596" s="20">
        <v>596</v>
      </c>
      <c r="B596" s="21">
        <v>46003</v>
      </c>
      <c r="C596" s="20" t="s">
        <v>581</v>
      </c>
      <c r="D596" s="20" t="s">
        <v>759</v>
      </c>
      <c r="E596" s="20"/>
      <c r="F596" s="22" t="s">
        <v>778</v>
      </c>
      <c r="G596" s="23" t="s">
        <v>638</v>
      </c>
      <c r="H596" s="57">
        <v>12</v>
      </c>
      <c r="I596" s="57">
        <v>0</v>
      </c>
      <c r="J596" s="24">
        <v>72100.320000000007</v>
      </c>
    </row>
    <row r="597" spans="1:10" ht="25.5" x14ac:dyDescent="0.25">
      <c r="A597" s="20">
        <v>597</v>
      </c>
      <c r="B597" s="21">
        <v>46003</v>
      </c>
      <c r="C597" s="20" t="s">
        <v>581</v>
      </c>
      <c r="D597" s="20" t="s">
        <v>91</v>
      </c>
      <c r="E597" s="20"/>
      <c r="F597" s="22" t="s">
        <v>92</v>
      </c>
      <c r="G597" s="23" t="s">
        <v>101</v>
      </c>
      <c r="H597" s="57">
        <v>0</v>
      </c>
      <c r="I597" s="57">
        <v>10</v>
      </c>
      <c r="J597" s="24">
        <v>1072100.32</v>
      </c>
    </row>
    <row r="598" spans="1:10" x14ac:dyDescent="0.25">
      <c r="A598" s="20">
        <v>598</v>
      </c>
      <c r="B598" s="21">
        <v>46003</v>
      </c>
      <c r="C598" s="20" t="s">
        <v>581</v>
      </c>
      <c r="D598" s="20" t="s">
        <v>759</v>
      </c>
      <c r="E598" s="20"/>
      <c r="F598" s="22" t="s">
        <v>778</v>
      </c>
      <c r="G598" s="23" t="s">
        <v>639</v>
      </c>
      <c r="H598" s="57">
        <v>10</v>
      </c>
      <c r="I598" s="57">
        <v>0</v>
      </c>
      <c r="J598" s="24">
        <v>72100.320000000007</v>
      </c>
    </row>
    <row r="599" spans="1:10" x14ac:dyDescent="0.25">
      <c r="A599" s="20">
        <v>599</v>
      </c>
      <c r="B599" s="21">
        <v>46004</v>
      </c>
      <c r="C599" s="20" t="s">
        <v>581</v>
      </c>
      <c r="D599" s="20" t="s">
        <v>497</v>
      </c>
      <c r="E599" s="20"/>
      <c r="F599" s="22" t="s">
        <v>797</v>
      </c>
      <c r="G599" s="23" t="s">
        <v>640</v>
      </c>
      <c r="H599" s="57">
        <v>0</v>
      </c>
      <c r="I599" s="57">
        <v>12.426360000000001</v>
      </c>
      <c r="J599" s="24">
        <v>1314736.32</v>
      </c>
    </row>
    <row r="600" spans="1:10" x14ac:dyDescent="0.25">
      <c r="A600" s="20">
        <v>600</v>
      </c>
      <c r="B600" s="21">
        <v>46005</v>
      </c>
      <c r="C600" s="20" t="s">
        <v>581</v>
      </c>
      <c r="D600" s="20" t="s">
        <v>788</v>
      </c>
      <c r="E600" s="20"/>
      <c r="F600" s="22" t="s">
        <v>862</v>
      </c>
      <c r="G600" s="23" t="s">
        <v>641</v>
      </c>
      <c r="H600" s="57">
        <v>0</v>
      </c>
      <c r="I600" s="57">
        <v>34.215899999999998</v>
      </c>
      <c r="J600" s="24">
        <v>4736326.32</v>
      </c>
    </row>
    <row r="601" spans="1:10" x14ac:dyDescent="0.25">
      <c r="A601" s="20">
        <v>601</v>
      </c>
      <c r="B601" s="21">
        <v>46006</v>
      </c>
      <c r="C601" s="20" t="s">
        <v>581</v>
      </c>
      <c r="D601" s="20" t="s">
        <v>497</v>
      </c>
      <c r="E601" s="20"/>
      <c r="F601" s="22" t="s">
        <v>801</v>
      </c>
      <c r="G601" s="23" t="s">
        <v>642</v>
      </c>
      <c r="H601" s="57">
        <v>0</v>
      </c>
      <c r="I601" s="57">
        <v>5</v>
      </c>
      <c r="J601" s="24">
        <v>5236326.32</v>
      </c>
    </row>
    <row r="602" spans="1:10" x14ac:dyDescent="0.25">
      <c r="A602" s="20">
        <v>602</v>
      </c>
      <c r="B602" s="21">
        <v>46006</v>
      </c>
      <c r="C602" s="20" t="s">
        <v>581</v>
      </c>
      <c r="D602" s="20" t="s">
        <v>759</v>
      </c>
      <c r="E602" s="20"/>
      <c r="F602" s="22" t="s">
        <v>765</v>
      </c>
      <c r="G602" s="23" t="s">
        <v>643</v>
      </c>
      <c r="H602" s="57">
        <v>0.6</v>
      </c>
      <c r="I602" s="57">
        <v>0</v>
      </c>
      <c r="J602" s="24">
        <v>5176326.32</v>
      </c>
    </row>
    <row r="603" spans="1:10" x14ac:dyDescent="0.25">
      <c r="A603" s="20">
        <v>603</v>
      </c>
      <c r="B603" s="21">
        <v>46006</v>
      </c>
      <c r="C603" s="20" t="s">
        <v>581</v>
      </c>
      <c r="D603" s="20" t="s">
        <v>787</v>
      </c>
      <c r="E603" s="20">
        <v>1568115</v>
      </c>
      <c r="F603" s="22" t="s">
        <v>786</v>
      </c>
      <c r="G603" s="23" t="s">
        <v>644</v>
      </c>
      <c r="H603" s="57">
        <v>0.2</v>
      </c>
      <c r="I603" s="57">
        <v>0</v>
      </c>
      <c r="J603" s="24">
        <v>5156326.32</v>
      </c>
    </row>
    <row r="604" spans="1:10" ht="25.5" x14ac:dyDescent="0.25">
      <c r="A604" s="20">
        <v>604</v>
      </c>
      <c r="B604" s="21">
        <v>46006</v>
      </c>
      <c r="C604" s="20" t="s">
        <v>581</v>
      </c>
      <c r="D604" s="20" t="s">
        <v>759</v>
      </c>
      <c r="E604" s="20"/>
      <c r="F604" s="22" t="s">
        <v>774</v>
      </c>
      <c r="G604" s="23" t="s">
        <v>645</v>
      </c>
      <c r="H604" s="57">
        <v>13.345230000000001</v>
      </c>
      <c r="I604" s="57">
        <v>0</v>
      </c>
      <c r="J604" s="24">
        <v>3821803.32</v>
      </c>
    </row>
    <row r="605" spans="1:10" ht="25.5" x14ac:dyDescent="0.25">
      <c r="A605" s="20">
        <v>605</v>
      </c>
      <c r="B605" s="21">
        <v>46006</v>
      </c>
      <c r="C605" s="20" t="s">
        <v>581</v>
      </c>
      <c r="D605" s="20" t="s">
        <v>759</v>
      </c>
      <c r="E605" s="20"/>
      <c r="F605" s="22" t="s">
        <v>781</v>
      </c>
      <c r="G605" s="23" t="s">
        <v>646</v>
      </c>
      <c r="H605" s="57">
        <v>0.1</v>
      </c>
      <c r="I605" s="57">
        <v>0</v>
      </c>
      <c r="J605" s="24">
        <v>3811803.32</v>
      </c>
    </row>
    <row r="606" spans="1:10" x14ac:dyDescent="0.25">
      <c r="A606" s="20">
        <v>606</v>
      </c>
      <c r="B606" s="21">
        <v>46006</v>
      </c>
      <c r="C606" s="20" t="s">
        <v>581</v>
      </c>
      <c r="D606" s="20" t="s">
        <v>91</v>
      </c>
      <c r="E606" s="20"/>
      <c r="F606" s="22" t="s">
        <v>92</v>
      </c>
      <c r="G606" s="23" t="s">
        <v>647</v>
      </c>
      <c r="H606" s="57">
        <v>4</v>
      </c>
      <c r="I606" s="57">
        <v>0</v>
      </c>
      <c r="J606" s="24">
        <v>3411803.32</v>
      </c>
    </row>
    <row r="607" spans="1:10" x14ac:dyDescent="0.25">
      <c r="A607" s="20">
        <v>607</v>
      </c>
      <c r="B607" s="21">
        <v>46006</v>
      </c>
      <c r="C607" s="20" t="s">
        <v>581</v>
      </c>
      <c r="D607" s="25" t="s">
        <v>759</v>
      </c>
      <c r="E607" s="20"/>
      <c r="F607" s="22" t="s">
        <v>773</v>
      </c>
      <c r="G607" s="23" t="s">
        <v>648</v>
      </c>
      <c r="H607" s="57">
        <v>2</v>
      </c>
      <c r="I607" s="57">
        <v>0</v>
      </c>
      <c r="J607" s="24">
        <v>3211803.32</v>
      </c>
    </row>
    <row r="608" spans="1:10" x14ac:dyDescent="0.25">
      <c r="A608" s="20">
        <v>608</v>
      </c>
      <c r="B608" s="21">
        <v>46007</v>
      </c>
      <c r="C608" s="20" t="s">
        <v>581</v>
      </c>
      <c r="D608" s="20" t="s">
        <v>759</v>
      </c>
      <c r="E608" s="20"/>
      <c r="F608" s="22" t="s">
        <v>778</v>
      </c>
      <c r="G608" s="23" t="s">
        <v>649</v>
      </c>
      <c r="H608" s="57">
        <v>22.72373</v>
      </c>
      <c r="I608" s="57">
        <v>0</v>
      </c>
      <c r="J608" s="24">
        <v>939430.32</v>
      </c>
    </row>
    <row r="609" spans="1:10" x14ac:dyDescent="0.25">
      <c r="A609" s="20">
        <v>609</v>
      </c>
      <c r="B609" s="21">
        <v>46007</v>
      </c>
      <c r="C609" s="20" t="s">
        <v>581</v>
      </c>
      <c r="D609" s="20" t="s">
        <v>497</v>
      </c>
      <c r="E609" s="20"/>
      <c r="F609" s="22" t="s">
        <v>797</v>
      </c>
      <c r="G609" s="23" t="s">
        <v>650</v>
      </c>
      <c r="H609" s="57">
        <v>0</v>
      </c>
      <c r="I609" s="57">
        <v>13.752700000000001</v>
      </c>
      <c r="J609" s="24">
        <v>2314700.3199999998</v>
      </c>
    </row>
    <row r="610" spans="1:10" ht="25.5" x14ac:dyDescent="0.25">
      <c r="A610" s="20">
        <v>610</v>
      </c>
      <c r="B610" s="21">
        <v>46008</v>
      </c>
      <c r="C610" s="20" t="s">
        <v>581</v>
      </c>
      <c r="D610" s="20" t="s">
        <v>497</v>
      </c>
      <c r="E610" s="20"/>
      <c r="F610" s="22" t="s">
        <v>801</v>
      </c>
      <c r="G610" s="23" t="s">
        <v>651</v>
      </c>
      <c r="H610" s="57">
        <v>0</v>
      </c>
      <c r="I610" s="57">
        <v>5</v>
      </c>
      <c r="J610" s="24">
        <v>2814700.32</v>
      </c>
    </row>
    <row r="611" spans="1:10" ht="25.5" x14ac:dyDescent="0.25">
      <c r="A611" s="20">
        <v>611</v>
      </c>
      <c r="B611" s="21">
        <v>46008</v>
      </c>
      <c r="C611" s="20" t="s">
        <v>581</v>
      </c>
      <c r="D611" s="20" t="s">
        <v>759</v>
      </c>
      <c r="E611" s="20"/>
      <c r="F611" s="22" t="s">
        <v>774</v>
      </c>
      <c r="G611" s="23" t="s">
        <v>652</v>
      </c>
      <c r="H611" s="57">
        <v>15.18613</v>
      </c>
      <c r="I611" s="57">
        <v>0</v>
      </c>
      <c r="J611" s="24">
        <v>1296087.32</v>
      </c>
    </row>
    <row r="612" spans="1:10" x14ac:dyDescent="0.25">
      <c r="A612" s="20">
        <v>612</v>
      </c>
      <c r="B612" s="21">
        <v>46008</v>
      </c>
      <c r="C612" s="20" t="s">
        <v>581</v>
      </c>
      <c r="D612" s="20" t="s">
        <v>497</v>
      </c>
      <c r="E612" s="20"/>
      <c r="F612" s="22" t="s">
        <v>797</v>
      </c>
      <c r="G612" s="23" t="s">
        <v>653</v>
      </c>
      <c r="H612" s="57">
        <v>0</v>
      </c>
      <c r="I612" s="57">
        <v>5.2960799999999999</v>
      </c>
      <c r="J612" s="24">
        <v>1825695.32</v>
      </c>
    </row>
    <row r="613" spans="1:10" ht="25.5" x14ac:dyDescent="0.25">
      <c r="A613" s="20">
        <v>613</v>
      </c>
      <c r="B613" s="21">
        <v>46009</v>
      </c>
      <c r="C613" s="20" t="s">
        <v>581</v>
      </c>
      <c r="D613" s="20" t="s">
        <v>759</v>
      </c>
      <c r="E613" s="20"/>
      <c r="F613" s="22" t="s">
        <v>774</v>
      </c>
      <c r="G613" s="23" t="s">
        <v>654</v>
      </c>
      <c r="H613" s="57">
        <v>11.015000000000001</v>
      </c>
      <c r="I613" s="57">
        <v>0</v>
      </c>
      <c r="J613" s="24">
        <v>724195.32</v>
      </c>
    </row>
    <row r="614" spans="1:10" ht="25.5" x14ac:dyDescent="0.25">
      <c r="A614" s="20">
        <v>614</v>
      </c>
      <c r="B614" s="21">
        <v>46009</v>
      </c>
      <c r="C614" s="20" t="s">
        <v>581</v>
      </c>
      <c r="D614" s="20" t="s">
        <v>91</v>
      </c>
      <c r="E614" s="20"/>
      <c r="F614" s="22" t="s">
        <v>92</v>
      </c>
      <c r="G614" s="23" t="s">
        <v>124</v>
      </c>
      <c r="H614" s="57">
        <v>2</v>
      </c>
      <c r="I614" s="57">
        <v>0</v>
      </c>
      <c r="J614" s="24">
        <v>524195.32</v>
      </c>
    </row>
    <row r="615" spans="1:10" x14ac:dyDescent="0.25">
      <c r="A615" s="20">
        <v>615</v>
      </c>
      <c r="B615" s="21">
        <v>46009</v>
      </c>
      <c r="C615" s="20" t="s">
        <v>581</v>
      </c>
      <c r="D615" s="20" t="s">
        <v>497</v>
      </c>
      <c r="E615" s="20"/>
      <c r="F615" s="22" t="s">
        <v>797</v>
      </c>
      <c r="G615" s="23" t="s">
        <v>655</v>
      </c>
      <c r="H615" s="57">
        <v>0</v>
      </c>
      <c r="I615" s="57">
        <v>10.48799</v>
      </c>
      <c r="J615" s="24">
        <v>1572994.32</v>
      </c>
    </row>
    <row r="616" spans="1:10" x14ac:dyDescent="0.25">
      <c r="A616" s="20">
        <v>616</v>
      </c>
      <c r="B616" s="21">
        <v>46009</v>
      </c>
      <c r="C616" s="20" t="s">
        <v>581</v>
      </c>
      <c r="D616" s="20" t="s">
        <v>91</v>
      </c>
      <c r="E616" s="20"/>
      <c r="F616" s="22" t="s">
        <v>92</v>
      </c>
      <c r="G616" s="23" t="s">
        <v>656</v>
      </c>
      <c r="H616" s="57">
        <v>0.5</v>
      </c>
      <c r="I616" s="57">
        <v>0</v>
      </c>
      <c r="J616" s="24">
        <v>1522994.32</v>
      </c>
    </row>
    <row r="617" spans="1:10" ht="25.5" x14ac:dyDescent="0.25">
      <c r="A617" s="20">
        <v>617</v>
      </c>
      <c r="B617" s="21">
        <v>46010</v>
      </c>
      <c r="C617" s="20" t="s">
        <v>581</v>
      </c>
      <c r="D617" s="20" t="s">
        <v>497</v>
      </c>
      <c r="E617" s="20"/>
      <c r="F617" s="22" t="s">
        <v>801</v>
      </c>
      <c r="G617" s="23" t="s">
        <v>657</v>
      </c>
      <c r="H617" s="57">
        <v>0</v>
      </c>
      <c r="I617" s="57">
        <v>3</v>
      </c>
      <c r="J617" s="24">
        <v>1822994.32</v>
      </c>
    </row>
    <row r="618" spans="1:10" x14ac:dyDescent="0.25">
      <c r="A618" s="20">
        <v>618</v>
      </c>
      <c r="B618" s="21">
        <v>46010</v>
      </c>
      <c r="C618" s="20" t="s">
        <v>581</v>
      </c>
      <c r="D618" s="20" t="s">
        <v>759</v>
      </c>
      <c r="E618" s="20"/>
      <c r="F618" s="22" t="s">
        <v>765</v>
      </c>
      <c r="G618" s="23" t="s">
        <v>658</v>
      </c>
      <c r="H618" s="57">
        <v>0.95</v>
      </c>
      <c r="I618" s="57">
        <v>0</v>
      </c>
      <c r="J618" s="24">
        <v>1727994.32</v>
      </c>
    </row>
    <row r="619" spans="1:10" ht="25.5" x14ac:dyDescent="0.25">
      <c r="A619" s="20">
        <v>619</v>
      </c>
      <c r="B619" s="21">
        <v>46010</v>
      </c>
      <c r="C619" s="20" t="s">
        <v>581</v>
      </c>
      <c r="D619" s="20" t="s">
        <v>759</v>
      </c>
      <c r="E619" s="20"/>
      <c r="F619" s="22" t="s">
        <v>774</v>
      </c>
      <c r="G619" s="23" t="s">
        <v>659</v>
      </c>
      <c r="H619" s="57">
        <v>16.61711</v>
      </c>
      <c r="I619" s="57">
        <v>0</v>
      </c>
      <c r="J619" s="24">
        <v>66283.320000000007</v>
      </c>
    </row>
    <row r="620" spans="1:10" x14ac:dyDescent="0.25">
      <c r="A620" s="20">
        <v>620</v>
      </c>
      <c r="B620" s="21">
        <v>46010</v>
      </c>
      <c r="C620" s="20" t="s">
        <v>581</v>
      </c>
      <c r="D620" s="20" t="s">
        <v>497</v>
      </c>
      <c r="E620" s="20"/>
      <c r="F620" s="22" t="s">
        <v>797</v>
      </c>
      <c r="G620" s="23" t="s">
        <v>660</v>
      </c>
      <c r="H620" s="57">
        <v>0</v>
      </c>
      <c r="I620" s="57">
        <v>9.1579200000000007</v>
      </c>
      <c r="J620" s="24">
        <v>982075.32</v>
      </c>
    </row>
    <row r="621" spans="1:10" x14ac:dyDescent="0.25">
      <c r="A621" s="20">
        <v>621</v>
      </c>
      <c r="B621" s="21">
        <v>46011</v>
      </c>
      <c r="C621" s="20" t="s">
        <v>581</v>
      </c>
      <c r="D621" s="20" t="s">
        <v>497</v>
      </c>
      <c r="E621" s="20"/>
      <c r="F621" s="22" t="s">
        <v>797</v>
      </c>
      <c r="G621" s="23" t="s">
        <v>661</v>
      </c>
      <c r="H621" s="57">
        <v>0</v>
      </c>
      <c r="I621" s="57">
        <v>9.3513900000000003</v>
      </c>
      <c r="J621" s="24">
        <v>1917214.32</v>
      </c>
    </row>
    <row r="622" spans="1:10" ht="25.5" x14ac:dyDescent="0.25">
      <c r="A622" s="20">
        <v>622</v>
      </c>
      <c r="B622" s="21">
        <v>46011</v>
      </c>
      <c r="C622" s="20" t="s">
        <v>581</v>
      </c>
      <c r="D622" s="20" t="s">
        <v>759</v>
      </c>
      <c r="E622" s="20"/>
      <c r="F622" s="22" t="s">
        <v>774</v>
      </c>
      <c r="G622" s="23" t="s">
        <v>662</v>
      </c>
      <c r="H622" s="57">
        <v>17</v>
      </c>
      <c r="I622" s="57">
        <v>0</v>
      </c>
      <c r="J622" s="24">
        <v>217214.32</v>
      </c>
    </row>
    <row r="623" spans="1:10" ht="25.5" x14ac:dyDescent="0.25">
      <c r="A623" s="20">
        <v>623</v>
      </c>
      <c r="B623" s="21">
        <v>46013</v>
      </c>
      <c r="C623" s="20" t="s">
        <v>581</v>
      </c>
      <c r="D623" s="20" t="s">
        <v>497</v>
      </c>
      <c r="E623" s="20"/>
      <c r="F623" s="22" t="s">
        <v>801</v>
      </c>
      <c r="G623" s="23" t="s">
        <v>663</v>
      </c>
      <c r="H623" s="57">
        <v>0</v>
      </c>
      <c r="I623" s="57">
        <v>3.4</v>
      </c>
      <c r="J623" s="24">
        <v>557214.31999999995</v>
      </c>
    </row>
    <row r="624" spans="1:10" x14ac:dyDescent="0.25">
      <c r="A624" s="20">
        <v>624</v>
      </c>
      <c r="B624" s="21">
        <v>46013</v>
      </c>
      <c r="C624" s="20" t="s">
        <v>581</v>
      </c>
      <c r="D624" s="20" t="s">
        <v>759</v>
      </c>
      <c r="E624" s="20"/>
      <c r="F624" s="22" t="s">
        <v>765</v>
      </c>
      <c r="G624" s="23" t="s">
        <v>664</v>
      </c>
      <c r="H624" s="57">
        <v>0.28999999999999998</v>
      </c>
      <c r="I624" s="57">
        <v>0</v>
      </c>
      <c r="J624" s="24">
        <v>528214.31999999995</v>
      </c>
    </row>
    <row r="625" spans="1:10" ht="25.5" x14ac:dyDescent="0.25">
      <c r="A625" s="20">
        <v>625</v>
      </c>
      <c r="B625" s="21">
        <v>46013</v>
      </c>
      <c r="C625" s="20" t="s">
        <v>581</v>
      </c>
      <c r="D625" s="20" t="s">
        <v>759</v>
      </c>
      <c r="E625" s="20"/>
      <c r="F625" s="22" t="s">
        <v>774</v>
      </c>
      <c r="G625" s="23" t="s">
        <v>665</v>
      </c>
      <c r="H625" s="57">
        <v>3.4269699999999998</v>
      </c>
      <c r="I625" s="57">
        <v>0</v>
      </c>
      <c r="J625" s="24">
        <v>185517.32</v>
      </c>
    </row>
    <row r="626" spans="1:10" x14ac:dyDescent="0.25">
      <c r="A626" s="20">
        <v>626</v>
      </c>
      <c r="B626" s="21">
        <v>46013</v>
      </c>
      <c r="C626" s="20" t="s">
        <v>581</v>
      </c>
      <c r="D626" s="20" t="s">
        <v>759</v>
      </c>
      <c r="E626" s="20"/>
      <c r="F626" s="22" t="s">
        <v>789</v>
      </c>
      <c r="G626" s="23" t="s">
        <v>666</v>
      </c>
      <c r="H626" s="57">
        <v>3.3000000000000002E-2</v>
      </c>
      <c r="I626" s="57">
        <v>0</v>
      </c>
      <c r="J626" s="24">
        <v>182217.32</v>
      </c>
    </row>
    <row r="627" spans="1:10" x14ac:dyDescent="0.25">
      <c r="A627" s="20">
        <v>627</v>
      </c>
      <c r="B627" s="21">
        <v>46014</v>
      </c>
      <c r="C627" s="20" t="s">
        <v>581</v>
      </c>
      <c r="D627" s="20" t="s">
        <v>752</v>
      </c>
      <c r="E627" s="20"/>
      <c r="F627" s="22" t="s">
        <v>754</v>
      </c>
      <c r="G627" s="23" t="s">
        <v>188</v>
      </c>
      <c r="H627" s="57">
        <v>0.13242000000000001</v>
      </c>
      <c r="I627" s="57">
        <v>0</v>
      </c>
      <c r="J627" s="24">
        <v>168975.32</v>
      </c>
    </row>
    <row r="628" spans="1:10" x14ac:dyDescent="0.25">
      <c r="A628" s="20">
        <v>628</v>
      </c>
      <c r="B628" s="21">
        <v>46014</v>
      </c>
      <c r="C628" s="20" t="s">
        <v>581</v>
      </c>
      <c r="D628" s="20" t="s">
        <v>91</v>
      </c>
      <c r="E628" s="20"/>
      <c r="F628" s="22" t="s">
        <v>92</v>
      </c>
      <c r="G628" s="23" t="s">
        <v>280</v>
      </c>
      <c r="H628" s="57">
        <v>0</v>
      </c>
      <c r="I628" s="57">
        <v>3.5</v>
      </c>
      <c r="J628" s="24">
        <v>518975.32</v>
      </c>
    </row>
    <row r="629" spans="1:10" ht="25.5" x14ac:dyDescent="0.25">
      <c r="A629" s="20">
        <v>629</v>
      </c>
      <c r="B629" s="21">
        <v>46014</v>
      </c>
      <c r="C629" s="20" t="s">
        <v>581</v>
      </c>
      <c r="D629" s="20" t="s">
        <v>759</v>
      </c>
      <c r="E629" s="20"/>
      <c r="F629" s="22" t="s">
        <v>774</v>
      </c>
      <c r="G629" s="23" t="s">
        <v>667</v>
      </c>
      <c r="H629" s="57">
        <v>5</v>
      </c>
      <c r="I629" s="57">
        <v>0</v>
      </c>
      <c r="J629" s="24">
        <v>18975.32</v>
      </c>
    </row>
    <row r="630" spans="1:10" x14ac:dyDescent="0.25">
      <c r="A630" s="20">
        <v>630</v>
      </c>
      <c r="B630" s="21">
        <v>46014</v>
      </c>
      <c r="C630" s="20" t="s">
        <v>581</v>
      </c>
      <c r="D630" s="20" t="s">
        <v>497</v>
      </c>
      <c r="E630" s="20"/>
      <c r="F630" s="22" t="s">
        <v>797</v>
      </c>
      <c r="G630" s="23" t="s">
        <v>668</v>
      </c>
      <c r="H630" s="57">
        <v>0</v>
      </c>
      <c r="I630" s="57">
        <v>10.528919999999999</v>
      </c>
      <c r="J630" s="24">
        <v>1071867.32</v>
      </c>
    </row>
    <row r="631" spans="1:10" x14ac:dyDescent="0.25">
      <c r="A631" s="20">
        <v>631</v>
      </c>
      <c r="B631" s="21">
        <v>46014</v>
      </c>
      <c r="C631" s="20" t="s">
        <v>581</v>
      </c>
      <c r="D631" s="20" t="s">
        <v>759</v>
      </c>
      <c r="E631" s="20"/>
      <c r="F631" s="22" t="s">
        <v>778</v>
      </c>
      <c r="G631" s="23" t="s">
        <v>669</v>
      </c>
      <c r="H631" s="57">
        <v>10</v>
      </c>
      <c r="I631" s="57">
        <v>0</v>
      </c>
      <c r="J631" s="24">
        <v>71867.320000000007</v>
      </c>
    </row>
    <row r="632" spans="1:10" x14ac:dyDescent="0.25">
      <c r="A632" s="20">
        <v>632</v>
      </c>
      <c r="B632" s="21">
        <v>46014</v>
      </c>
      <c r="C632" s="20" t="s">
        <v>581</v>
      </c>
      <c r="D632" s="20" t="s">
        <v>497</v>
      </c>
      <c r="E632" s="20"/>
      <c r="F632" s="22" t="s">
        <v>801</v>
      </c>
      <c r="G632" s="23" t="s">
        <v>670</v>
      </c>
      <c r="H632" s="57">
        <v>0</v>
      </c>
      <c r="I632" s="57">
        <v>10</v>
      </c>
      <c r="J632" s="24">
        <v>1071867.32</v>
      </c>
    </row>
    <row r="633" spans="1:10" x14ac:dyDescent="0.25">
      <c r="A633" s="20">
        <v>633</v>
      </c>
      <c r="B633" s="21">
        <v>46014</v>
      </c>
      <c r="C633" s="20" t="s">
        <v>581</v>
      </c>
      <c r="D633" s="20" t="s">
        <v>759</v>
      </c>
      <c r="E633" s="20"/>
      <c r="F633" s="22" t="s">
        <v>778</v>
      </c>
      <c r="G633" s="23" t="s">
        <v>671</v>
      </c>
      <c r="H633" s="57">
        <v>10</v>
      </c>
      <c r="I633" s="57">
        <v>0</v>
      </c>
      <c r="J633" s="24">
        <v>71867.320000000007</v>
      </c>
    </row>
    <row r="634" spans="1:10" x14ac:dyDescent="0.25">
      <c r="A634" s="20">
        <v>634</v>
      </c>
      <c r="B634" s="21">
        <v>46015</v>
      </c>
      <c r="C634" s="20" t="s">
        <v>581</v>
      </c>
      <c r="D634" s="20" t="s">
        <v>787</v>
      </c>
      <c r="E634" s="20" t="s">
        <v>835</v>
      </c>
      <c r="F634" s="22" t="s">
        <v>786</v>
      </c>
      <c r="G634" s="23" t="s">
        <v>672</v>
      </c>
      <c r="H634" s="57">
        <v>0</v>
      </c>
      <c r="I634" s="57">
        <v>8.9</v>
      </c>
      <c r="J634" s="24">
        <v>961867.32</v>
      </c>
    </row>
    <row r="635" spans="1:10" x14ac:dyDescent="0.25">
      <c r="A635" s="20">
        <v>635</v>
      </c>
      <c r="B635" s="21">
        <v>46015</v>
      </c>
      <c r="C635" s="20" t="s">
        <v>581</v>
      </c>
      <c r="D635" s="20" t="s">
        <v>497</v>
      </c>
      <c r="E635" s="20"/>
      <c r="F635" s="22" t="s">
        <v>797</v>
      </c>
      <c r="G635" s="23" t="s">
        <v>673</v>
      </c>
      <c r="H635" s="57">
        <v>0</v>
      </c>
      <c r="I635" s="57">
        <v>5.4058299999999999</v>
      </c>
      <c r="J635" s="24">
        <v>1502450.32</v>
      </c>
    </row>
    <row r="636" spans="1:10" x14ac:dyDescent="0.25">
      <c r="A636" s="20">
        <v>636</v>
      </c>
      <c r="B636" s="21">
        <v>46015</v>
      </c>
      <c r="C636" s="20" t="s">
        <v>581</v>
      </c>
      <c r="D636" s="25" t="s">
        <v>759</v>
      </c>
      <c r="E636" s="20"/>
      <c r="F636" s="22" t="s">
        <v>769</v>
      </c>
      <c r="G636" s="23" t="s">
        <v>674</v>
      </c>
      <c r="H636" s="57">
        <v>0.2</v>
      </c>
      <c r="I636" s="57">
        <v>0</v>
      </c>
      <c r="J636" s="24">
        <v>1482450.32</v>
      </c>
    </row>
    <row r="637" spans="1:10" x14ac:dyDescent="0.25">
      <c r="A637" s="20">
        <v>637</v>
      </c>
      <c r="B637" s="21">
        <v>46015</v>
      </c>
      <c r="C637" s="20" t="s">
        <v>581</v>
      </c>
      <c r="D637" s="20" t="s">
        <v>752</v>
      </c>
      <c r="E637" s="20"/>
      <c r="F637" s="22" t="s">
        <v>755</v>
      </c>
      <c r="G637" s="23" t="s">
        <v>675</v>
      </c>
      <c r="H637" s="57">
        <v>13.95294</v>
      </c>
      <c r="I637" s="57">
        <v>0</v>
      </c>
      <c r="J637" s="24">
        <v>87156.32</v>
      </c>
    </row>
    <row r="638" spans="1:10" x14ac:dyDescent="0.25">
      <c r="A638" s="20">
        <v>638</v>
      </c>
      <c r="B638" s="21">
        <v>46015</v>
      </c>
      <c r="C638" s="20" t="s">
        <v>581</v>
      </c>
      <c r="D638" s="20" t="s">
        <v>497</v>
      </c>
      <c r="E638" s="20"/>
      <c r="F638" s="22" t="s">
        <v>765</v>
      </c>
      <c r="G638" s="23" t="s">
        <v>676</v>
      </c>
      <c r="H638" s="57">
        <v>0</v>
      </c>
      <c r="I638" s="57">
        <v>5</v>
      </c>
      <c r="J638" s="24">
        <v>587156.31999999995</v>
      </c>
    </row>
    <row r="639" spans="1:10" x14ac:dyDescent="0.25">
      <c r="A639" s="20">
        <v>639</v>
      </c>
      <c r="B639" s="21">
        <v>46016</v>
      </c>
      <c r="C639" s="20" t="s">
        <v>581</v>
      </c>
      <c r="D639" s="20" t="s">
        <v>497</v>
      </c>
      <c r="E639" s="20"/>
      <c r="F639" s="22" t="s">
        <v>797</v>
      </c>
      <c r="G639" s="23" t="s">
        <v>677</v>
      </c>
      <c r="H639" s="57">
        <v>0</v>
      </c>
      <c r="I639" s="57">
        <v>4.2357500000000003</v>
      </c>
      <c r="J639" s="24">
        <v>1010731.32</v>
      </c>
    </row>
    <row r="640" spans="1:10" ht="25.5" x14ac:dyDescent="0.25">
      <c r="A640" s="20">
        <v>640</v>
      </c>
      <c r="B640" s="21">
        <v>46017</v>
      </c>
      <c r="C640" s="20" t="s">
        <v>581</v>
      </c>
      <c r="D640" s="20" t="s">
        <v>759</v>
      </c>
      <c r="E640" s="20"/>
      <c r="F640" s="22" t="s">
        <v>774</v>
      </c>
      <c r="G640" s="23" t="s">
        <v>678</v>
      </c>
      <c r="H640" s="57">
        <v>10</v>
      </c>
      <c r="I640" s="57">
        <v>0</v>
      </c>
      <c r="J640" s="24">
        <v>10731.32</v>
      </c>
    </row>
    <row r="641" spans="1:10" x14ac:dyDescent="0.25">
      <c r="A641" s="20">
        <v>641</v>
      </c>
      <c r="B641" s="21">
        <v>46021</v>
      </c>
      <c r="C641" s="20" t="s">
        <v>581</v>
      </c>
      <c r="D641" s="20" t="s">
        <v>91</v>
      </c>
      <c r="E641" s="20"/>
      <c r="F641" s="22" t="s">
        <v>92</v>
      </c>
      <c r="G641" s="23" t="s">
        <v>95</v>
      </c>
      <c r="H641" s="57">
        <v>0</v>
      </c>
      <c r="I641" s="57">
        <v>0.5</v>
      </c>
      <c r="J641" s="24">
        <v>60731.32</v>
      </c>
    </row>
    <row r="642" spans="1:10" x14ac:dyDescent="0.25">
      <c r="A642" s="20">
        <v>642</v>
      </c>
      <c r="B642" s="21">
        <v>46021</v>
      </c>
      <c r="C642" s="20" t="s">
        <v>581</v>
      </c>
      <c r="D642" s="20" t="s">
        <v>759</v>
      </c>
      <c r="E642" s="20"/>
      <c r="F642" s="22" t="s">
        <v>765</v>
      </c>
      <c r="G642" s="23" t="s">
        <v>679</v>
      </c>
      <c r="H642" s="57">
        <v>0.5</v>
      </c>
      <c r="I642" s="57">
        <v>0</v>
      </c>
      <c r="J642" s="24">
        <v>10731.32</v>
      </c>
    </row>
    <row r="643" spans="1:10" x14ac:dyDescent="0.25">
      <c r="A643" s="20">
        <v>643</v>
      </c>
      <c r="B643" s="21">
        <v>46022</v>
      </c>
      <c r="C643" s="20" t="s">
        <v>581</v>
      </c>
      <c r="D643" s="20" t="s">
        <v>497</v>
      </c>
      <c r="E643" s="20"/>
      <c r="F643" s="22" t="s">
        <v>801</v>
      </c>
      <c r="G643" s="23" t="s">
        <v>680</v>
      </c>
      <c r="H643" s="57">
        <v>0</v>
      </c>
      <c r="I643" s="57">
        <v>8</v>
      </c>
      <c r="J643" s="24">
        <v>810731.32</v>
      </c>
    </row>
    <row r="644" spans="1:10" ht="25.5" x14ac:dyDescent="0.25">
      <c r="A644" s="20">
        <v>644</v>
      </c>
      <c r="B644" s="21">
        <v>46022</v>
      </c>
      <c r="C644" s="20" t="s">
        <v>581</v>
      </c>
      <c r="D644" s="20" t="s">
        <v>759</v>
      </c>
      <c r="E644" s="20"/>
      <c r="F644" s="22" t="s">
        <v>774</v>
      </c>
      <c r="G644" s="23" t="s">
        <v>681</v>
      </c>
      <c r="H644" s="57">
        <v>7</v>
      </c>
      <c r="I644" s="57">
        <v>0</v>
      </c>
      <c r="J644" s="24">
        <v>110731.32</v>
      </c>
    </row>
    <row r="645" spans="1:10" x14ac:dyDescent="0.25">
      <c r="A645" s="20">
        <v>645</v>
      </c>
      <c r="B645" s="21">
        <v>46022</v>
      </c>
      <c r="C645" s="20" t="s">
        <v>581</v>
      </c>
      <c r="D645" s="20" t="s">
        <v>91</v>
      </c>
      <c r="E645" s="20"/>
      <c r="F645" s="22" t="s">
        <v>92</v>
      </c>
      <c r="G645" s="23" t="s">
        <v>682</v>
      </c>
      <c r="H645" s="57">
        <v>1</v>
      </c>
      <c r="I645" s="57">
        <v>0</v>
      </c>
      <c r="J645" s="24">
        <v>10731.32</v>
      </c>
    </row>
    <row r="646" spans="1:10" x14ac:dyDescent="0.25">
      <c r="A646" s="20">
        <v>646</v>
      </c>
      <c r="B646" s="21">
        <v>46022</v>
      </c>
      <c r="C646" s="20" t="s">
        <v>581</v>
      </c>
      <c r="D646" s="20" t="s">
        <v>497</v>
      </c>
      <c r="E646" s="20"/>
      <c r="F646" s="22" t="s">
        <v>802</v>
      </c>
      <c r="G646" s="23" t="s">
        <v>683</v>
      </c>
      <c r="H646" s="57">
        <v>0</v>
      </c>
      <c r="I646" s="57">
        <v>50</v>
      </c>
      <c r="J646" s="24">
        <v>5010731.32</v>
      </c>
    </row>
    <row r="647" spans="1:10" x14ac:dyDescent="0.25">
      <c r="A647" s="20">
        <v>647</v>
      </c>
      <c r="B647" s="21">
        <v>46022</v>
      </c>
      <c r="C647" s="20" t="s">
        <v>581</v>
      </c>
      <c r="D647" s="20" t="s">
        <v>759</v>
      </c>
      <c r="E647" s="20"/>
      <c r="F647" s="22" t="s">
        <v>778</v>
      </c>
      <c r="G647" s="23" t="s">
        <v>684</v>
      </c>
      <c r="H647" s="57">
        <v>18.942</v>
      </c>
      <c r="I647" s="57">
        <v>0</v>
      </c>
      <c r="J647" s="24">
        <v>3116531.32</v>
      </c>
    </row>
    <row r="648" spans="1:10" x14ac:dyDescent="0.25">
      <c r="A648" s="20">
        <v>648</v>
      </c>
      <c r="B648" s="21">
        <v>46023</v>
      </c>
      <c r="C648" s="20" t="s">
        <v>815</v>
      </c>
      <c r="D648" s="20" t="s">
        <v>788</v>
      </c>
      <c r="E648" s="20"/>
      <c r="F648" s="22" t="s">
        <v>862</v>
      </c>
      <c r="G648" s="23" t="s">
        <v>685</v>
      </c>
      <c r="H648" s="57">
        <v>0</v>
      </c>
      <c r="I648" s="57">
        <v>0.82443</v>
      </c>
      <c r="J648" s="24">
        <v>3198974.32</v>
      </c>
    </row>
    <row r="649" spans="1:10" x14ac:dyDescent="0.25">
      <c r="A649" s="20">
        <v>649</v>
      </c>
      <c r="B649" s="21">
        <v>46024</v>
      </c>
      <c r="C649" s="20" t="s">
        <v>815</v>
      </c>
      <c r="D649" s="20" t="s">
        <v>787</v>
      </c>
      <c r="E649" s="20">
        <v>1568810</v>
      </c>
      <c r="F649" s="22" t="s">
        <v>763</v>
      </c>
      <c r="G649" s="23" t="s">
        <v>686</v>
      </c>
      <c r="H649" s="57">
        <v>1.1299999999999999</v>
      </c>
      <c r="I649" s="57">
        <v>0</v>
      </c>
      <c r="J649" s="24">
        <v>3085974.32</v>
      </c>
    </row>
    <row r="650" spans="1:10" x14ac:dyDescent="0.25">
      <c r="A650" s="20">
        <v>650</v>
      </c>
      <c r="B650" s="21">
        <v>46024</v>
      </c>
      <c r="C650" s="20" t="s">
        <v>815</v>
      </c>
      <c r="D650" s="20" t="s">
        <v>759</v>
      </c>
      <c r="E650" s="20"/>
      <c r="F650" s="22" t="s">
        <v>789</v>
      </c>
      <c r="G650" s="23" t="s">
        <v>687</v>
      </c>
      <c r="H650" s="57">
        <v>0.33979999999999999</v>
      </c>
      <c r="I650" s="57">
        <v>0</v>
      </c>
      <c r="J650" s="24">
        <v>3051994.32</v>
      </c>
    </row>
    <row r="651" spans="1:10" ht="25.5" x14ac:dyDescent="0.25">
      <c r="A651" s="20">
        <v>651</v>
      </c>
      <c r="B651" s="21">
        <v>46024</v>
      </c>
      <c r="C651" s="20" t="s">
        <v>815</v>
      </c>
      <c r="D651" s="20" t="s">
        <v>759</v>
      </c>
      <c r="E651" s="20"/>
      <c r="F651" s="22" t="s">
        <v>789</v>
      </c>
      <c r="G651" s="23" t="s">
        <v>688</v>
      </c>
      <c r="H651" s="57">
        <v>0.23</v>
      </c>
      <c r="I651" s="57">
        <v>0</v>
      </c>
      <c r="J651" s="24">
        <v>3028994.32</v>
      </c>
    </row>
    <row r="652" spans="1:10" x14ac:dyDescent="0.25">
      <c r="A652" s="20">
        <v>652</v>
      </c>
      <c r="B652" s="21">
        <v>46025</v>
      </c>
      <c r="C652" s="20" t="s">
        <v>815</v>
      </c>
      <c r="D652" s="20" t="s">
        <v>91</v>
      </c>
      <c r="E652" s="20"/>
      <c r="F652" s="22" t="s">
        <v>92</v>
      </c>
      <c r="G652" s="23" t="s">
        <v>689</v>
      </c>
      <c r="H652" s="57">
        <v>28.5</v>
      </c>
      <c r="I652" s="57">
        <v>0</v>
      </c>
      <c r="J652" s="24">
        <v>178994.32</v>
      </c>
    </row>
    <row r="653" spans="1:10" x14ac:dyDescent="0.25">
      <c r="A653" s="20">
        <v>653</v>
      </c>
      <c r="B653" s="21">
        <v>46027</v>
      </c>
      <c r="C653" s="20" t="s">
        <v>815</v>
      </c>
      <c r="D653" s="20" t="s">
        <v>759</v>
      </c>
      <c r="E653" s="20"/>
      <c r="F653" s="22" t="s">
        <v>785</v>
      </c>
      <c r="G653" s="23" t="s">
        <v>690</v>
      </c>
      <c r="H653" s="57">
        <v>0.1</v>
      </c>
      <c r="I653" s="57">
        <v>0</v>
      </c>
      <c r="J653" s="24">
        <v>168994.32</v>
      </c>
    </row>
    <row r="654" spans="1:10" ht="25.5" x14ac:dyDescent="0.25">
      <c r="A654" s="20">
        <v>654</v>
      </c>
      <c r="B654" s="21">
        <v>46027</v>
      </c>
      <c r="C654" s="20" t="s">
        <v>815</v>
      </c>
      <c r="D654" s="20" t="s">
        <v>497</v>
      </c>
      <c r="E654" s="20"/>
      <c r="F654" s="22" t="s">
        <v>801</v>
      </c>
      <c r="G654" s="23" t="s">
        <v>691</v>
      </c>
      <c r="H654" s="57">
        <v>0</v>
      </c>
      <c r="I654" s="57">
        <v>3</v>
      </c>
      <c r="J654" s="24">
        <v>468994.32</v>
      </c>
    </row>
    <row r="655" spans="1:10" ht="25.5" x14ac:dyDescent="0.25">
      <c r="A655" s="20">
        <v>655</v>
      </c>
      <c r="B655" s="21">
        <v>46028</v>
      </c>
      <c r="C655" s="20" t="s">
        <v>815</v>
      </c>
      <c r="D655" s="20" t="s">
        <v>497</v>
      </c>
      <c r="E655" s="20"/>
      <c r="F655" s="22" t="s">
        <v>801</v>
      </c>
      <c r="G655" s="23" t="s">
        <v>692</v>
      </c>
      <c r="H655" s="57">
        <v>0</v>
      </c>
      <c r="I655" s="57">
        <v>3</v>
      </c>
      <c r="J655" s="24">
        <v>768994.32</v>
      </c>
    </row>
    <row r="656" spans="1:10" x14ac:dyDescent="0.25">
      <c r="A656" s="20">
        <v>656</v>
      </c>
      <c r="B656" s="21">
        <v>46028</v>
      </c>
      <c r="C656" s="20" t="s">
        <v>815</v>
      </c>
      <c r="D656" s="20" t="s">
        <v>759</v>
      </c>
      <c r="E656" s="20"/>
      <c r="F656" s="22" t="s">
        <v>778</v>
      </c>
      <c r="G656" s="23" t="s">
        <v>693</v>
      </c>
      <c r="H656" s="57">
        <v>7</v>
      </c>
      <c r="I656" s="57">
        <v>0</v>
      </c>
      <c r="J656" s="24">
        <v>68994.320000000007</v>
      </c>
    </row>
    <row r="657" spans="1:10" ht="25.5" x14ac:dyDescent="0.25">
      <c r="A657" s="20">
        <v>657</v>
      </c>
      <c r="B657" s="21">
        <v>46029</v>
      </c>
      <c r="C657" s="20" t="s">
        <v>815</v>
      </c>
      <c r="D657" s="20" t="s">
        <v>497</v>
      </c>
      <c r="E657" s="20"/>
      <c r="F657" s="22" t="s">
        <v>801</v>
      </c>
      <c r="G657" s="23" t="s">
        <v>694</v>
      </c>
      <c r="H657" s="57">
        <v>0</v>
      </c>
      <c r="I657" s="57">
        <v>3</v>
      </c>
      <c r="J657" s="24">
        <v>368994.32</v>
      </c>
    </row>
    <row r="658" spans="1:10" x14ac:dyDescent="0.25">
      <c r="A658" s="20">
        <v>658</v>
      </c>
      <c r="B658" s="21">
        <v>46029</v>
      </c>
      <c r="C658" s="20" t="s">
        <v>815</v>
      </c>
      <c r="D658" s="20" t="s">
        <v>497</v>
      </c>
      <c r="E658" s="20"/>
      <c r="F658" s="22" t="s">
        <v>797</v>
      </c>
      <c r="G658" s="23" t="s">
        <v>695</v>
      </c>
      <c r="H658" s="57">
        <v>0</v>
      </c>
      <c r="I658" s="57">
        <v>4.0185700000000004</v>
      </c>
      <c r="J658" s="24">
        <v>770851.32</v>
      </c>
    </row>
    <row r="659" spans="1:10" x14ac:dyDescent="0.25">
      <c r="A659" s="20">
        <v>659</v>
      </c>
      <c r="B659" s="21">
        <v>46029</v>
      </c>
      <c r="C659" s="20" t="s">
        <v>815</v>
      </c>
      <c r="D659" s="20" t="s">
        <v>497</v>
      </c>
      <c r="E659" s="20"/>
      <c r="F659" s="22" t="s">
        <v>803</v>
      </c>
      <c r="G659" s="23" t="s">
        <v>696</v>
      </c>
      <c r="H659" s="57">
        <v>0</v>
      </c>
      <c r="I659" s="57">
        <v>10</v>
      </c>
      <c r="J659" s="24">
        <v>1770851.32</v>
      </c>
    </row>
    <row r="660" spans="1:10" x14ac:dyDescent="0.25">
      <c r="A660" s="20">
        <v>660</v>
      </c>
      <c r="B660" s="21">
        <v>46029</v>
      </c>
      <c r="C660" s="20" t="s">
        <v>815</v>
      </c>
      <c r="D660" s="20" t="s">
        <v>91</v>
      </c>
      <c r="E660" s="20"/>
      <c r="F660" s="22" t="s">
        <v>92</v>
      </c>
      <c r="G660" s="23" t="s">
        <v>697</v>
      </c>
      <c r="H660" s="57">
        <v>1.5</v>
      </c>
      <c r="I660" s="57">
        <v>0</v>
      </c>
      <c r="J660" s="24">
        <v>1620851.32</v>
      </c>
    </row>
    <row r="661" spans="1:10" x14ac:dyDescent="0.25">
      <c r="A661" s="20">
        <v>661</v>
      </c>
      <c r="B661" s="21">
        <v>46029</v>
      </c>
      <c r="C661" s="20" t="s">
        <v>815</v>
      </c>
      <c r="D661" s="20" t="s">
        <v>746</v>
      </c>
      <c r="E661" s="20"/>
      <c r="F661" s="22" t="s">
        <v>757</v>
      </c>
      <c r="G661" s="23" t="s">
        <v>698</v>
      </c>
      <c r="H661" s="57">
        <v>3.2337600000000002</v>
      </c>
      <c r="I661" s="57">
        <v>0</v>
      </c>
      <c r="J661" s="24">
        <v>1297475.32</v>
      </c>
    </row>
    <row r="662" spans="1:10" x14ac:dyDescent="0.25">
      <c r="A662" s="20">
        <v>662</v>
      </c>
      <c r="B662" s="21">
        <v>46029</v>
      </c>
      <c r="C662" s="20" t="s">
        <v>815</v>
      </c>
      <c r="D662" s="20" t="s">
        <v>746</v>
      </c>
      <c r="E662" s="20"/>
      <c r="F662" s="22" t="s">
        <v>757</v>
      </c>
      <c r="G662" s="23" t="s">
        <v>699</v>
      </c>
      <c r="H662" s="57">
        <v>0.43293999999999999</v>
      </c>
      <c r="I662" s="57">
        <v>0</v>
      </c>
      <c r="J662" s="24">
        <v>1254181.32</v>
      </c>
    </row>
    <row r="663" spans="1:10" ht="25.5" x14ac:dyDescent="0.25">
      <c r="A663" s="20">
        <v>663</v>
      </c>
      <c r="B663" s="21">
        <v>46030</v>
      </c>
      <c r="C663" s="20" t="s">
        <v>815</v>
      </c>
      <c r="D663" s="20" t="s">
        <v>759</v>
      </c>
      <c r="E663" s="20"/>
      <c r="F663" s="22" t="s">
        <v>774</v>
      </c>
      <c r="G663" s="23" t="s">
        <v>700</v>
      </c>
      <c r="H663" s="57">
        <v>12</v>
      </c>
      <c r="I663" s="57">
        <v>0</v>
      </c>
      <c r="J663" s="24">
        <v>54181.32</v>
      </c>
    </row>
    <row r="664" spans="1:10" x14ac:dyDescent="0.25">
      <c r="A664" s="20">
        <v>664</v>
      </c>
      <c r="B664" s="21">
        <v>46030</v>
      </c>
      <c r="C664" s="20" t="s">
        <v>815</v>
      </c>
      <c r="D664" s="20" t="s">
        <v>497</v>
      </c>
      <c r="E664" s="20"/>
      <c r="F664" s="22" t="s">
        <v>797</v>
      </c>
      <c r="G664" s="23" t="s">
        <v>701</v>
      </c>
      <c r="H664" s="57">
        <v>0</v>
      </c>
      <c r="I664" s="57">
        <v>9.0035299999999996</v>
      </c>
      <c r="J664" s="24">
        <v>954534.32</v>
      </c>
    </row>
    <row r="665" spans="1:10" x14ac:dyDescent="0.25">
      <c r="A665" s="20">
        <v>665</v>
      </c>
      <c r="B665" s="21">
        <v>46030</v>
      </c>
      <c r="C665" s="20" t="s">
        <v>815</v>
      </c>
      <c r="D665" s="20" t="s">
        <v>759</v>
      </c>
      <c r="E665" s="20"/>
      <c r="F665" s="22" t="s">
        <v>778</v>
      </c>
      <c r="G665" s="23" t="s">
        <v>702</v>
      </c>
      <c r="H665" s="57">
        <v>9</v>
      </c>
      <c r="I665" s="57">
        <v>0</v>
      </c>
      <c r="J665" s="24">
        <v>54534.32</v>
      </c>
    </row>
    <row r="666" spans="1:10" x14ac:dyDescent="0.25">
      <c r="A666" s="20">
        <v>666</v>
      </c>
      <c r="B666" s="21">
        <v>46030</v>
      </c>
      <c r="C666" s="20" t="s">
        <v>815</v>
      </c>
      <c r="D666" s="20" t="s">
        <v>91</v>
      </c>
      <c r="E666" s="20"/>
      <c r="F666" s="22" t="s">
        <v>92</v>
      </c>
      <c r="G666" s="23" t="s">
        <v>280</v>
      </c>
      <c r="H666" s="57">
        <v>0</v>
      </c>
      <c r="I666" s="57">
        <v>16</v>
      </c>
      <c r="J666" s="24">
        <v>1654534.32</v>
      </c>
    </row>
    <row r="667" spans="1:10" x14ac:dyDescent="0.25">
      <c r="A667" s="20">
        <v>667</v>
      </c>
      <c r="B667" s="21">
        <v>46030</v>
      </c>
      <c r="C667" s="20" t="s">
        <v>815</v>
      </c>
      <c r="D667" s="20" t="s">
        <v>759</v>
      </c>
      <c r="E667" s="20"/>
      <c r="F667" s="22" t="s">
        <v>778</v>
      </c>
      <c r="G667" s="23" t="s">
        <v>703</v>
      </c>
      <c r="H667" s="57">
        <v>10</v>
      </c>
      <c r="I667" s="57">
        <v>0</v>
      </c>
      <c r="J667" s="24">
        <v>654534.31999999995</v>
      </c>
    </row>
    <row r="668" spans="1:10" x14ac:dyDescent="0.25">
      <c r="A668" s="20">
        <v>668</v>
      </c>
      <c r="B668" s="21">
        <v>46030</v>
      </c>
      <c r="C668" s="20" t="s">
        <v>815</v>
      </c>
      <c r="D668" s="25" t="s">
        <v>759</v>
      </c>
      <c r="E668" s="20"/>
      <c r="F668" s="22" t="s">
        <v>773</v>
      </c>
      <c r="G668" s="23" t="s">
        <v>704</v>
      </c>
      <c r="H668" s="57">
        <v>1.9133</v>
      </c>
      <c r="I668" s="57">
        <v>0</v>
      </c>
      <c r="J668" s="24">
        <v>463204.32</v>
      </c>
    </row>
    <row r="669" spans="1:10" x14ac:dyDescent="0.25">
      <c r="A669" s="20">
        <v>669</v>
      </c>
      <c r="B669" s="21">
        <v>46030</v>
      </c>
      <c r="C669" s="20" t="s">
        <v>815</v>
      </c>
      <c r="D669" s="25" t="s">
        <v>759</v>
      </c>
      <c r="E669" s="20"/>
      <c r="F669" s="22" t="s">
        <v>776</v>
      </c>
      <c r="G669" s="23" t="s">
        <v>705</v>
      </c>
      <c r="H669" s="57">
        <v>1.26528</v>
      </c>
      <c r="I669" s="57">
        <v>0</v>
      </c>
      <c r="J669" s="24">
        <v>336676.32</v>
      </c>
    </row>
    <row r="670" spans="1:10" x14ac:dyDescent="0.25">
      <c r="A670" s="20">
        <v>670</v>
      </c>
      <c r="B670" s="21">
        <v>46030</v>
      </c>
      <c r="C670" s="20" t="s">
        <v>815</v>
      </c>
      <c r="D670" s="20" t="s">
        <v>759</v>
      </c>
      <c r="E670" s="20"/>
      <c r="F670" s="22" t="s">
        <v>766</v>
      </c>
      <c r="G670" s="23" t="s">
        <v>706</v>
      </c>
      <c r="H670" s="57">
        <v>0.69306000000000001</v>
      </c>
      <c r="I670" s="57">
        <v>0</v>
      </c>
      <c r="J670" s="24">
        <v>267370.32</v>
      </c>
    </row>
    <row r="671" spans="1:10" x14ac:dyDescent="0.25">
      <c r="A671" s="20">
        <v>671</v>
      </c>
      <c r="B671" s="21">
        <v>46030</v>
      </c>
      <c r="C671" s="20" t="s">
        <v>815</v>
      </c>
      <c r="D671" s="25" t="s">
        <v>759</v>
      </c>
      <c r="E671" s="20"/>
      <c r="F671" s="22" t="s">
        <v>769</v>
      </c>
      <c r="G671" s="23" t="s">
        <v>707</v>
      </c>
      <c r="H671" s="57">
        <v>0.82399999999999995</v>
      </c>
      <c r="I671" s="57">
        <v>0</v>
      </c>
      <c r="J671" s="24">
        <v>184970.32</v>
      </c>
    </row>
    <row r="672" spans="1:10" x14ac:dyDescent="0.25">
      <c r="A672" s="20">
        <v>672</v>
      </c>
      <c r="B672" s="21">
        <v>46030</v>
      </c>
      <c r="C672" s="20" t="s">
        <v>815</v>
      </c>
      <c r="D672" s="20" t="s">
        <v>759</v>
      </c>
      <c r="E672" s="20"/>
      <c r="F672" s="22" t="s">
        <v>784</v>
      </c>
      <c r="G672" s="23" t="s">
        <v>708</v>
      </c>
      <c r="H672" s="57">
        <v>0.66</v>
      </c>
      <c r="I672" s="57">
        <v>0</v>
      </c>
      <c r="J672" s="24">
        <v>118970.32</v>
      </c>
    </row>
    <row r="673" spans="1:10" ht="25.5" x14ac:dyDescent="0.25">
      <c r="A673" s="20">
        <v>673</v>
      </c>
      <c r="B673" s="21">
        <v>46031</v>
      </c>
      <c r="C673" s="20" t="s">
        <v>815</v>
      </c>
      <c r="D673" s="20" t="s">
        <v>497</v>
      </c>
      <c r="E673" s="20"/>
      <c r="F673" s="22" t="s">
        <v>801</v>
      </c>
      <c r="G673" s="23" t="s">
        <v>709</v>
      </c>
      <c r="H673" s="57">
        <v>0</v>
      </c>
      <c r="I673" s="57">
        <v>2</v>
      </c>
      <c r="J673" s="24">
        <v>318970.32</v>
      </c>
    </row>
    <row r="674" spans="1:10" x14ac:dyDescent="0.25">
      <c r="A674" s="20">
        <v>674</v>
      </c>
      <c r="B674" s="21">
        <v>46031</v>
      </c>
      <c r="C674" s="20" t="s">
        <v>815</v>
      </c>
      <c r="D674" s="20" t="s">
        <v>91</v>
      </c>
      <c r="E674" s="20"/>
      <c r="F674" s="22" t="s">
        <v>92</v>
      </c>
      <c r="G674" s="23" t="s">
        <v>95</v>
      </c>
      <c r="H674" s="57">
        <v>0</v>
      </c>
      <c r="I674" s="57">
        <v>22</v>
      </c>
      <c r="J674" s="24">
        <v>2518970.3199999998</v>
      </c>
    </row>
    <row r="675" spans="1:10" ht="25.5" x14ac:dyDescent="0.25">
      <c r="A675" s="20">
        <v>675</v>
      </c>
      <c r="B675" s="21">
        <v>46031</v>
      </c>
      <c r="C675" s="20" t="s">
        <v>815</v>
      </c>
      <c r="D675" s="20" t="s">
        <v>759</v>
      </c>
      <c r="E675" s="20"/>
      <c r="F675" s="22" t="s">
        <v>774</v>
      </c>
      <c r="G675" s="23" t="s">
        <v>710</v>
      </c>
      <c r="H675" s="57">
        <v>0.26787</v>
      </c>
      <c r="I675" s="57">
        <v>0</v>
      </c>
      <c r="J675" s="24">
        <v>2492183.3199999998</v>
      </c>
    </row>
    <row r="676" spans="1:10" ht="25.5" x14ac:dyDescent="0.25">
      <c r="A676" s="20">
        <v>676</v>
      </c>
      <c r="B676" s="21">
        <v>46031</v>
      </c>
      <c r="C676" s="20" t="s">
        <v>815</v>
      </c>
      <c r="D676" s="20" t="s">
        <v>759</v>
      </c>
      <c r="E676" s="20"/>
      <c r="F676" s="22" t="s">
        <v>774</v>
      </c>
      <c r="G676" s="23" t="s">
        <v>711</v>
      </c>
      <c r="H676" s="57">
        <v>20</v>
      </c>
      <c r="I676" s="57">
        <v>0</v>
      </c>
      <c r="J676" s="24">
        <v>492183.32</v>
      </c>
    </row>
    <row r="677" spans="1:10" x14ac:dyDescent="0.25">
      <c r="A677" s="20">
        <v>677</v>
      </c>
      <c r="B677" s="21">
        <v>46031</v>
      </c>
      <c r="C677" s="20" t="s">
        <v>815</v>
      </c>
      <c r="D677" s="20" t="s">
        <v>759</v>
      </c>
      <c r="E677" s="20"/>
      <c r="F677" s="22" t="s">
        <v>765</v>
      </c>
      <c r="G677" s="23" t="s">
        <v>712</v>
      </c>
      <c r="H677" s="57">
        <v>0.7</v>
      </c>
      <c r="I677" s="57">
        <v>0</v>
      </c>
      <c r="J677" s="24">
        <v>422183.32</v>
      </c>
    </row>
    <row r="678" spans="1:10" x14ac:dyDescent="0.25">
      <c r="A678" s="20">
        <v>678</v>
      </c>
      <c r="B678" s="21">
        <v>46031</v>
      </c>
      <c r="C678" s="20" t="s">
        <v>815</v>
      </c>
      <c r="D678" s="20" t="s">
        <v>497</v>
      </c>
      <c r="E678" s="20"/>
      <c r="F678" s="22" t="s">
        <v>803</v>
      </c>
      <c r="G678" s="23" t="s">
        <v>713</v>
      </c>
      <c r="H678" s="57">
        <v>0</v>
      </c>
      <c r="I678" s="57">
        <v>10</v>
      </c>
      <c r="J678" s="24">
        <v>1422183.32</v>
      </c>
    </row>
    <row r="679" spans="1:10" x14ac:dyDescent="0.25">
      <c r="A679" s="20">
        <v>679</v>
      </c>
      <c r="B679" s="21">
        <v>46031</v>
      </c>
      <c r="C679" s="20" t="s">
        <v>815</v>
      </c>
      <c r="D679" s="20" t="s">
        <v>759</v>
      </c>
      <c r="E679" s="20"/>
      <c r="F679" s="22" t="s">
        <v>765</v>
      </c>
      <c r="G679" s="23" t="s">
        <v>577</v>
      </c>
      <c r="H679" s="57">
        <v>0.1</v>
      </c>
      <c r="I679" s="57">
        <v>0</v>
      </c>
      <c r="J679" s="24">
        <v>1412183.32</v>
      </c>
    </row>
    <row r="680" spans="1:10" x14ac:dyDescent="0.25">
      <c r="A680" s="20">
        <v>680</v>
      </c>
      <c r="B680" s="21">
        <v>46031</v>
      </c>
      <c r="C680" s="20" t="s">
        <v>815</v>
      </c>
      <c r="D680" s="20" t="s">
        <v>746</v>
      </c>
      <c r="E680" s="20"/>
      <c r="F680" s="22" t="s">
        <v>125</v>
      </c>
      <c r="G680" s="23" t="s">
        <v>714</v>
      </c>
      <c r="H680" s="57">
        <v>0.55813999999999997</v>
      </c>
      <c r="I680" s="57">
        <v>0</v>
      </c>
      <c r="J680" s="24">
        <v>1356369.32</v>
      </c>
    </row>
    <row r="681" spans="1:10" x14ac:dyDescent="0.25">
      <c r="A681" s="20">
        <v>681</v>
      </c>
      <c r="B681" s="21">
        <v>46031</v>
      </c>
      <c r="C681" s="20" t="s">
        <v>815</v>
      </c>
      <c r="D681" s="20" t="s">
        <v>787</v>
      </c>
      <c r="E681" s="20">
        <v>1568823</v>
      </c>
      <c r="F681" s="22" t="s">
        <v>790</v>
      </c>
      <c r="G681" s="23" t="s">
        <v>715</v>
      </c>
      <c r="H681" s="57">
        <v>1</v>
      </c>
      <c r="I681" s="57">
        <v>0</v>
      </c>
      <c r="J681" s="24">
        <v>1256369.32</v>
      </c>
    </row>
    <row r="682" spans="1:10" ht="25.5" x14ac:dyDescent="0.25">
      <c r="A682" s="20">
        <v>682</v>
      </c>
      <c r="B682" s="21">
        <v>46031</v>
      </c>
      <c r="C682" s="20" t="s">
        <v>815</v>
      </c>
      <c r="D682" s="20" t="s">
        <v>759</v>
      </c>
      <c r="E682" s="20"/>
      <c r="F682" s="22" t="s">
        <v>781</v>
      </c>
      <c r="G682" s="23" t="s">
        <v>716</v>
      </c>
      <c r="H682" s="57">
        <v>0.1</v>
      </c>
      <c r="I682" s="57">
        <v>0</v>
      </c>
      <c r="J682" s="24">
        <v>1246369.32</v>
      </c>
    </row>
    <row r="683" spans="1:10" x14ac:dyDescent="0.25">
      <c r="A683" s="20">
        <v>683</v>
      </c>
      <c r="B683" s="21">
        <v>46031</v>
      </c>
      <c r="C683" s="20" t="s">
        <v>815</v>
      </c>
      <c r="D683" s="20" t="s">
        <v>787</v>
      </c>
      <c r="E683" s="20">
        <v>1568825</v>
      </c>
      <c r="F683" s="22" t="s">
        <v>786</v>
      </c>
      <c r="G683" s="23" t="s">
        <v>717</v>
      </c>
      <c r="H683" s="57">
        <v>0.2</v>
      </c>
      <c r="I683" s="57">
        <v>0</v>
      </c>
      <c r="J683" s="24">
        <v>1226369.32</v>
      </c>
    </row>
    <row r="684" spans="1:10" x14ac:dyDescent="0.25">
      <c r="A684" s="20">
        <v>684</v>
      </c>
      <c r="B684" s="21">
        <v>46032</v>
      </c>
      <c r="C684" s="20" t="s">
        <v>815</v>
      </c>
      <c r="D684" s="20" t="s">
        <v>497</v>
      </c>
      <c r="E684" s="20"/>
      <c r="F684" s="22" t="s">
        <v>797</v>
      </c>
      <c r="G684" s="23" t="s">
        <v>718</v>
      </c>
      <c r="H684" s="57">
        <v>0</v>
      </c>
      <c r="I684" s="57">
        <v>5.5211699999999997</v>
      </c>
      <c r="J684" s="24">
        <v>1778486.32</v>
      </c>
    </row>
    <row r="685" spans="1:10" x14ac:dyDescent="0.25">
      <c r="A685" s="20">
        <v>685</v>
      </c>
      <c r="B685" s="21">
        <v>46032</v>
      </c>
      <c r="C685" s="20" t="s">
        <v>815</v>
      </c>
      <c r="D685" s="20" t="s">
        <v>759</v>
      </c>
      <c r="E685" s="20"/>
      <c r="F685" s="22" t="s">
        <v>789</v>
      </c>
      <c r="G685" s="23" t="s">
        <v>719</v>
      </c>
      <c r="H685" s="57">
        <v>4.7854000000000004E-3</v>
      </c>
      <c r="I685" s="57">
        <v>0</v>
      </c>
      <c r="J685" s="24">
        <v>1778007.78</v>
      </c>
    </row>
    <row r="686" spans="1:10" x14ac:dyDescent="0.25">
      <c r="A686" s="20">
        <v>686</v>
      </c>
      <c r="B686" s="21">
        <v>46034</v>
      </c>
      <c r="C686" s="20" t="s">
        <v>815</v>
      </c>
      <c r="D686" s="20" t="s">
        <v>752</v>
      </c>
      <c r="E686" s="20"/>
      <c r="F686" s="22" t="s">
        <v>753</v>
      </c>
      <c r="G686" s="23" t="s">
        <v>146</v>
      </c>
      <c r="H686" s="57">
        <v>0.42004000000000002</v>
      </c>
      <c r="I686" s="57">
        <v>0</v>
      </c>
      <c r="J686" s="24">
        <v>1736003.78</v>
      </c>
    </row>
    <row r="687" spans="1:10" x14ac:dyDescent="0.25">
      <c r="A687" s="20">
        <v>687</v>
      </c>
      <c r="B687" s="21">
        <v>46034</v>
      </c>
      <c r="C687" s="20" t="s">
        <v>815</v>
      </c>
      <c r="D687" s="20" t="s">
        <v>497</v>
      </c>
      <c r="E687" s="20"/>
      <c r="F687" s="22" t="s">
        <v>797</v>
      </c>
      <c r="G687" s="23" t="s">
        <v>720</v>
      </c>
      <c r="H687" s="57">
        <v>0</v>
      </c>
      <c r="I687" s="57">
        <v>16.489100000000001</v>
      </c>
      <c r="J687" s="24">
        <v>3384913.78</v>
      </c>
    </row>
    <row r="688" spans="1:10" x14ac:dyDescent="0.25">
      <c r="A688" s="20">
        <v>688</v>
      </c>
      <c r="B688" s="21">
        <v>46034</v>
      </c>
      <c r="C688" s="20" t="s">
        <v>815</v>
      </c>
      <c r="D688" s="20" t="s">
        <v>91</v>
      </c>
      <c r="E688" s="20"/>
      <c r="F688" s="22" t="s">
        <v>92</v>
      </c>
      <c r="G688" s="23" t="s">
        <v>95</v>
      </c>
      <c r="H688" s="57">
        <v>0</v>
      </c>
      <c r="I688" s="57">
        <v>15</v>
      </c>
      <c r="J688" s="24">
        <v>4884913.78</v>
      </c>
    </row>
    <row r="689" spans="1:10" x14ac:dyDescent="0.25">
      <c r="A689" s="20">
        <v>689</v>
      </c>
      <c r="B689" s="21">
        <v>46034</v>
      </c>
      <c r="C689" s="20" t="s">
        <v>815</v>
      </c>
      <c r="D689" s="20" t="s">
        <v>759</v>
      </c>
      <c r="E689" s="20"/>
      <c r="F689" s="22" t="s">
        <v>765</v>
      </c>
      <c r="G689" s="23" t="s">
        <v>721</v>
      </c>
      <c r="H689" s="57">
        <v>0.45</v>
      </c>
      <c r="I689" s="57">
        <v>0</v>
      </c>
      <c r="J689" s="24">
        <v>4839913.78</v>
      </c>
    </row>
    <row r="690" spans="1:10" x14ac:dyDescent="0.25">
      <c r="A690" s="20">
        <v>690</v>
      </c>
      <c r="B690" s="21">
        <v>46034</v>
      </c>
      <c r="C690" s="20" t="s">
        <v>815</v>
      </c>
      <c r="D690" s="20" t="s">
        <v>752</v>
      </c>
      <c r="E690" s="20"/>
      <c r="F690" s="22" t="s">
        <v>750</v>
      </c>
      <c r="G690" s="23" t="s">
        <v>722</v>
      </c>
      <c r="H690" s="57">
        <v>0</v>
      </c>
      <c r="I690" s="57">
        <v>3.5</v>
      </c>
      <c r="J690" s="24">
        <v>5189913.78</v>
      </c>
    </row>
    <row r="691" spans="1:10" x14ac:dyDescent="0.25">
      <c r="A691" s="20">
        <v>691</v>
      </c>
      <c r="B691" s="21">
        <v>46034</v>
      </c>
      <c r="C691" s="20" t="s">
        <v>815</v>
      </c>
      <c r="D691" s="20" t="s">
        <v>746</v>
      </c>
      <c r="E691" s="20"/>
      <c r="F691" s="22" t="s">
        <v>298</v>
      </c>
      <c r="G691" s="23" t="s">
        <v>543</v>
      </c>
      <c r="H691" s="57">
        <v>2E-3</v>
      </c>
      <c r="I691" s="57">
        <v>0</v>
      </c>
      <c r="J691" s="24">
        <v>5189713.78</v>
      </c>
    </row>
    <row r="692" spans="1:10" ht="25.5" x14ac:dyDescent="0.25">
      <c r="A692" s="20">
        <v>692</v>
      </c>
      <c r="B692" s="21">
        <v>46034</v>
      </c>
      <c r="C692" s="20" t="s">
        <v>815</v>
      </c>
      <c r="D692" s="20" t="s">
        <v>787</v>
      </c>
      <c r="E692" s="20">
        <v>1568830</v>
      </c>
      <c r="F692" s="22" t="s">
        <v>786</v>
      </c>
      <c r="G692" s="23" t="s">
        <v>723</v>
      </c>
      <c r="H692" s="57">
        <v>3.5</v>
      </c>
      <c r="I692" s="57">
        <v>0</v>
      </c>
      <c r="J692" s="24">
        <v>4839713.78</v>
      </c>
    </row>
    <row r="693" spans="1:10" ht="25.5" x14ac:dyDescent="0.25">
      <c r="A693" s="20">
        <v>693</v>
      </c>
      <c r="B693" s="21">
        <v>46034</v>
      </c>
      <c r="C693" s="20" t="s">
        <v>815</v>
      </c>
      <c r="D693" s="20" t="s">
        <v>759</v>
      </c>
      <c r="E693" s="20"/>
      <c r="F693" s="22" t="s">
        <v>774</v>
      </c>
      <c r="G693" s="23" t="s">
        <v>724</v>
      </c>
      <c r="H693" s="57">
        <v>29.606110000000001</v>
      </c>
      <c r="I693" s="57">
        <v>0</v>
      </c>
      <c r="J693" s="24">
        <v>1879102.78</v>
      </c>
    </row>
    <row r="694" spans="1:10" x14ac:dyDescent="0.25">
      <c r="A694" s="20">
        <v>694</v>
      </c>
      <c r="B694" s="21">
        <v>46034</v>
      </c>
      <c r="C694" s="20" t="s">
        <v>815</v>
      </c>
      <c r="D694" s="25" t="s">
        <v>759</v>
      </c>
      <c r="E694" s="20"/>
      <c r="F694" s="22" t="s">
        <v>773</v>
      </c>
      <c r="G694" s="23" t="s">
        <v>725</v>
      </c>
      <c r="H694" s="57">
        <v>2</v>
      </c>
      <c r="I694" s="57">
        <v>0</v>
      </c>
      <c r="J694" s="24">
        <v>1679102.78</v>
      </c>
    </row>
    <row r="695" spans="1:10" x14ac:dyDescent="0.25">
      <c r="A695" s="20">
        <v>695</v>
      </c>
      <c r="B695" s="21">
        <v>46034</v>
      </c>
      <c r="C695" s="20" t="s">
        <v>815</v>
      </c>
      <c r="D695" s="25" t="s">
        <v>759</v>
      </c>
      <c r="E695" s="20"/>
      <c r="F695" s="22" t="s">
        <v>769</v>
      </c>
      <c r="G695" s="23" t="s">
        <v>726</v>
      </c>
      <c r="H695" s="57">
        <v>1</v>
      </c>
      <c r="I695" s="57">
        <v>0</v>
      </c>
      <c r="J695" s="24">
        <v>1579102.78</v>
      </c>
    </row>
    <row r="696" spans="1:10" x14ac:dyDescent="0.25">
      <c r="A696" s="20">
        <v>696</v>
      </c>
      <c r="B696" s="21">
        <v>46035</v>
      </c>
      <c r="C696" s="20" t="s">
        <v>815</v>
      </c>
      <c r="D696" s="20" t="s">
        <v>752</v>
      </c>
      <c r="E696" s="20"/>
      <c r="F696" s="22" t="s">
        <v>751</v>
      </c>
      <c r="G696" s="23" t="s">
        <v>727</v>
      </c>
      <c r="H696" s="57">
        <v>0</v>
      </c>
      <c r="I696" s="57">
        <v>3.35</v>
      </c>
      <c r="J696" s="24">
        <v>1914102.78</v>
      </c>
    </row>
    <row r="697" spans="1:10" x14ac:dyDescent="0.25">
      <c r="A697" s="20">
        <v>697</v>
      </c>
      <c r="B697" s="21">
        <v>46035</v>
      </c>
      <c r="C697" s="20" t="s">
        <v>815</v>
      </c>
      <c r="D697" s="20" t="s">
        <v>746</v>
      </c>
      <c r="E697" s="20"/>
      <c r="F697" s="22" t="s">
        <v>298</v>
      </c>
      <c r="G697" s="23" t="s">
        <v>543</v>
      </c>
      <c r="H697" s="57">
        <v>2E-3</v>
      </c>
      <c r="I697" s="57">
        <v>0</v>
      </c>
      <c r="J697" s="24">
        <v>1913902.78</v>
      </c>
    </row>
    <row r="698" spans="1:10" x14ac:dyDescent="0.25">
      <c r="A698" s="20">
        <v>698</v>
      </c>
      <c r="B698" s="21">
        <v>46035</v>
      </c>
      <c r="C698" s="20" t="s">
        <v>815</v>
      </c>
      <c r="D698" s="20" t="s">
        <v>497</v>
      </c>
      <c r="E698" s="20"/>
      <c r="F698" s="22" t="s">
        <v>797</v>
      </c>
      <c r="G698" s="23" t="s">
        <v>728</v>
      </c>
      <c r="H698" s="57">
        <v>0</v>
      </c>
      <c r="I698" s="57">
        <v>8.4119700000000002</v>
      </c>
      <c r="J698" s="24">
        <v>2755099.78</v>
      </c>
    </row>
    <row r="699" spans="1:10" ht="25.5" x14ac:dyDescent="0.25">
      <c r="A699" s="20">
        <v>699</v>
      </c>
      <c r="B699" s="21">
        <v>46035</v>
      </c>
      <c r="C699" s="20" t="s">
        <v>815</v>
      </c>
      <c r="D699" s="20" t="s">
        <v>787</v>
      </c>
      <c r="E699" s="20">
        <v>1568832</v>
      </c>
      <c r="F699" s="22" t="s">
        <v>786</v>
      </c>
      <c r="G699" s="23" t="s">
        <v>729</v>
      </c>
      <c r="H699" s="57">
        <v>3.35</v>
      </c>
      <c r="I699" s="57">
        <v>0</v>
      </c>
      <c r="J699" s="24">
        <v>2420099.7799999998</v>
      </c>
    </row>
    <row r="700" spans="1:10" ht="25.5" x14ac:dyDescent="0.25">
      <c r="A700" s="20">
        <v>700</v>
      </c>
      <c r="B700" s="21">
        <v>46035</v>
      </c>
      <c r="C700" s="20" t="s">
        <v>815</v>
      </c>
      <c r="D700" s="20" t="s">
        <v>759</v>
      </c>
      <c r="E700" s="20"/>
      <c r="F700" s="22" t="s">
        <v>774</v>
      </c>
      <c r="G700" s="23" t="s">
        <v>730</v>
      </c>
      <c r="H700" s="57">
        <v>20</v>
      </c>
      <c r="I700" s="57">
        <v>0</v>
      </c>
      <c r="J700" s="24">
        <v>420099.78</v>
      </c>
    </row>
    <row r="701" spans="1:10" x14ac:dyDescent="0.25">
      <c r="A701" s="20">
        <v>701</v>
      </c>
      <c r="B701" s="21">
        <v>46035</v>
      </c>
      <c r="C701" s="20" t="s">
        <v>815</v>
      </c>
      <c r="D701" s="20" t="s">
        <v>91</v>
      </c>
      <c r="E701" s="20"/>
      <c r="F701" s="22" t="s">
        <v>92</v>
      </c>
      <c r="G701" s="23" t="s">
        <v>95</v>
      </c>
      <c r="H701" s="57">
        <v>0</v>
      </c>
      <c r="I701" s="57">
        <v>5</v>
      </c>
      <c r="J701" s="24">
        <v>920099.78</v>
      </c>
    </row>
    <row r="702" spans="1:10" x14ac:dyDescent="0.25">
      <c r="A702" s="20">
        <v>702</v>
      </c>
      <c r="B702" s="21">
        <v>46035</v>
      </c>
      <c r="C702" s="20" t="s">
        <v>815</v>
      </c>
      <c r="D702" s="20" t="s">
        <v>91</v>
      </c>
      <c r="E702" s="20"/>
      <c r="F702" s="22" t="s">
        <v>92</v>
      </c>
      <c r="G702" s="23" t="s">
        <v>731</v>
      </c>
      <c r="H702" s="57">
        <v>0</v>
      </c>
      <c r="I702" s="57">
        <v>5</v>
      </c>
      <c r="J702" s="24">
        <v>1420099.78</v>
      </c>
    </row>
    <row r="703" spans="1:10" x14ac:dyDescent="0.25">
      <c r="A703" s="20">
        <v>703</v>
      </c>
      <c r="B703" s="21">
        <v>46035</v>
      </c>
      <c r="C703" s="20" t="s">
        <v>815</v>
      </c>
      <c r="D703" s="20" t="s">
        <v>788</v>
      </c>
      <c r="E703" s="20"/>
      <c r="F703" s="22" t="s">
        <v>761</v>
      </c>
      <c r="G703" s="23" t="s">
        <v>732</v>
      </c>
      <c r="H703" s="57">
        <v>10.105</v>
      </c>
      <c r="I703" s="57">
        <v>0</v>
      </c>
      <c r="J703" s="24">
        <v>409599.78</v>
      </c>
    </row>
    <row r="704" spans="1:10" x14ac:dyDescent="0.25">
      <c r="A704" s="20">
        <v>704</v>
      </c>
      <c r="B704" s="21">
        <v>46035</v>
      </c>
      <c r="C704" s="20" t="s">
        <v>815</v>
      </c>
      <c r="D704" s="20" t="s">
        <v>497</v>
      </c>
      <c r="E704" s="20"/>
      <c r="F704" s="22" t="s">
        <v>803</v>
      </c>
      <c r="G704" s="23" t="s">
        <v>733</v>
      </c>
      <c r="H704" s="57">
        <v>0</v>
      </c>
      <c r="I704" s="57">
        <v>10</v>
      </c>
      <c r="J704" s="24">
        <v>1409599.78</v>
      </c>
    </row>
    <row r="705" spans="1:10" ht="25.5" x14ac:dyDescent="0.25">
      <c r="A705" s="20">
        <v>705</v>
      </c>
      <c r="B705" s="21">
        <v>46035</v>
      </c>
      <c r="C705" s="20" t="s">
        <v>815</v>
      </c>
      <c r="D705" s="20" t="s">
        <v>759</v>
      </c>
      <c r="E705" s="20"/>
      <c r="F705" s="22" t="s">
        <v>765</v>
      </c>
      <c r="G705" s="23" t="s">
        <v>102</v>
      </c>
      <c r="H705" s="57">
        <v>0.77</v>
      </c>
      <c r="I705" s="57">
        <v>0</v>
      </c>
      <c r="J705" s="24">
        <v>1332599.78</v>
      </c>
    </row>
    <row r="706" spans="1:10" x14ac:dyDescent="0.25">
      <c r="A706" s="20">
        <v>706</v>
      </c>
      <c r="B706" s="21">
        <v>46035</v>
      </c>
      <c r="C706" s="20" t="s">
        <v>815</v>
      </c>
      <c r="D706" s="20" t="s">
        <v>759</v>
      </c>
      <c r="E706" s="20"/>
      <c r="F706" s="22" t="s">
        <v>767</v>
      </c>
      <c r="G706" s="23" t="s">
        <v>734</v>
      </c>
      <c r="H706" s="57">
        <v>1</v>
      </c>
      <c r="I706" s="57">
        <v>0</v>
      </c>
      <c r="J706" s="24">
        <v>1232599.78</v>
      </c>
    </row>
    <row r="707" spans="1:10" ht="25.5" x14ac:dyDescent="0.25">
      <c r="A707" s="20">
        <v>707</v>
      </c>
      <c r="B707" s="21">
        <v>46036</v>
      </c>
      <c r="C707" s="20" t="s">
        <v>815</v>
      </c>
      <c r="D707" s="20" t="s">
        <v>497</v>
      </c>
      <c r="E707" s="20"/>
      <c r="F707" s="22" t="s">
        <v>801</v>
      </c>
      <c r="G707" s="23" t="s">
        <v>735</v>
      </c>
      <c r="H707" s="57">
        <v>0</v>
      </c>
      <c r="I707" s="57">
        <v>3</v>
      </c>
      <c r="J707" s="24">
        <v>1532599.78</v>
      </c>
    </row>
    <row r="708" spans="1:10" ht="25.5" x14ac:dyDescent="0.25">
      <c r="A708" s="20">
        <v>708</v>
      </c>
      <c r="B708" s="21">
        <v>46036</v>
      </c>
      <c r="C708" s="20" t="s">
        <v>815</v>
      </c>
      <c r="D708" s="20" t="s">
        <v>759</v>
      </c>
      <c r="E708" s="20"/>
      <c r="F708" s="22" t="s">
        <v>774</v>
      </c>
      <c r="G708" s="23" t="s">
        <v>736</v>
      </c>
      <c r="H708" s="57">
        <v>12</v>
      </c>
      <c r="I708" s="57">
        <v>0</v>
      </c>
      <c r="J708" s="24">
        <v>332599.78000000003</v>
      </c>
    </row>
    <row r="709" spans="1:10" x14ac:dyDescent="0.25">
      <c r="A709" s="20">
        <v>709</v>
      </c>
      <c r="B709" s="21">
        <v>46036</v>
      </c>
      <c r="C709" s="20" t="s">
        <v>815</v>
      </c>
      <c r="D709" s="20" t="s">
        <v>497</v>
      </c>
      <c r="E709" s="20"/>
      <c r="F709" s="22" t="s">
        <v>797</v>
      </c>
      <c r="G709" s="23" t="s">
        <v>737</v>
      </c>
      <c r="H709" s="57">
        <v>0</v>
      </c>
      <c r="I709" s="57">
        <v>4.6189600000000004</v>
      </c>
      <c r="J709" s="24">
        <v>794495.78</v>
      </c>
    </row>
    <row r="710" spans="1:10" x14ac:dyDescent="0.25">
      <c r="A710" s="20">
        <v>710</v>
      </c>
      <c r="B710" s="21">
        <v>46036</v>
      </c>
      <c r="C710" s="20" t="s">
        <v>815</v>
      </c>
      <c r="D710" s="20" t="s">
        <v>759</v>
      </c>
      <c r="E710" s="20"/>
      <c r="F710" s="22" t="s">
        <v>785</v>
      </c>
      <c r="G710" s="23" t="s">
        <v>738</v>
      </c>
      <c r="H710" s="57">
        <v>0.5</v>
      </c>
      <c r="I710" s="57">
        <v>0</v>
      </c>
      <c r="J710" s="24">
        <v>744495.78</v>
      </c>
    </row>
    <row r="711" spans="1:10" x14ac:dyDescent="0.25">
      <c r="A711" s="20">
        <v>711</v>
      </c>
      <c r="B711" s="21">
        <v>46036</v>
      </c>
      <c r="C711" s="20" t="s">
        <v>815</v>
      </c>
      <c r="D711" s="20" t="s">
        <v>91</v>
      </c>
      <c r="E711" s="20"/>
      <c r="F711" s="22" t="s">
        <v>92</v>
      </c>
      <c r="G711" s="23" t="s">
        <v>739</v>
      </c>
      <c r="H711" s="57">
        <v>5</v>
      </c>
      <c r="I711" s="57">
        <v>0</v>
      </c>
      <c r="J711" s="24">
        <v>244495.78</v>
      </c>
    </row>
    <row r="712" spans="1:10" x14ac:dyDescent="0.25">
      <c r="A712" s="20">
        <v>712</v>
      </c>
      <c r="B712" s="21">
        <v>46037</v>
      </c>
      <c r="C712" s="20" t="s">
        <v>815</v>
      </c>
      <c r="D712" s="20" t="s">
        <v>497</v>
      </c>
      <c r="E712" s="20"/>
      <c r="F712" s="22" t="s">
        <v>802</v>
      </c>
      <c r="G712" s="23" t="s">
        <v>740</v>
      </c>
      <c r="H712" s="57">
        <v>0</v>
      </c>
      <c r="I712" s="57">
        <v>3.7442638000000001</v>
      </c>
      <c r="J712" s="24">
        <v>618922.16</v>
      </c>
    </row>
    <row r="713" spans="1:10" x14ac:dyDescent="0.25">
      <c r="A713" s="20">
        <v>713</v>
      </c>
      <c r="B713" s="21">
        <v>46037</v>
      </c>
      <c r="C713" s="20" t="s">
        <v>815</v>
      </c>
      <c r="D713" s="20" t="s">
        <v>497</v>
      </c>
      <c r="E713" s="20"/>
      <c r="F713" s="22" t="s">
        <v>802</v>
      </c>
      <c r="G713" s="23" t="s">
        <v>741</v>
      </c>
      <c r="H713" s="57">
        <v>0</v>
      </c>
      <c r="I713" s="57">
        <v>2.5303523999999999</v>
      </c>
      <c r="J713" s="24">
        <v>871957.4</v>
      </c>
    </row>
    <row r="714" spans="1:10" x14ac:dyDescent="0.25">
      <c r="A714" s="20">
        <v>714</v>
      </c>
      <c r="B714" s="21">
        <v>46037</v>
      </c>
      <c r="C714" s="20" t="s">
        <v>815</v>
      </c>
      <c r="D714" s="20" t="s">
        <v>497</v>
      </c>
      <c r="E714" s="20"/>
      <c r="F714" s="22" t="s">
        <v>802</v>
      </c>
      <c r="G714" s="23" t="s">
        <v>742</v>
      </c>
      <c r="H714" s="57">
        <v>0</v>
      </c>
      <c r="I714" s="57">
        <v>3.9017262000000001</v>
      </c>
      <c r="J714" s="24">
        <v>1262130.02</v>
      </c>
    </row>
    <row r="715" spans="1:10" x14ac:dyDescent="0.25">
      <c r="A715" s="20">
        <v>715</v>
      </c>
      <c r="B715" s="21">
        <v>46039</v>
      </c>
      <c r="C715" s="20" t="s">
        <v>815</v>
      </c>
      <c r="D715" s="20" t="s">
        <v>497</v>
      </c>
      <c r="E715" s="20"/>
      <c r="F715" s="22" t="s">
        <v>797</v>
      </c>
      <c r="G715" s="23" t="s">
        <v>743</v>
      </c>
      <c r="H715" s="57">
        <v>0</v>
      </c>
      <c r="I715" s="57">
        <v>7.1544499999999998</v>
      </c>
      <c r="J715" s="24">
        <v>1977575.02</v>
      </c>
    </row>
    <row r="716" spans="1:10" x14ac:dyDescent="0.25">
      <c r="A716" s="20">
        <v>716</v>
      </c>
      <c r="B716" s="21">
        <v>46039</v>
      </c>
      <c r="C716" s="20" t="s">
        <v>815</v>
      </c>
      <c r="D716" s="20" t="s">
        <v>759</v>
      </c>
      <c r="E716" s="20"/>
      <c r="F716" s="22" t="s">
        <v>789</v>
      </c>
      <c r="G716" s="23" t="s">
        <v>744</v>
      </c>
      <c r="H716" s="57">
        <v>7.5095399999999993E-2</v>
      </c>
      <c r="I716" s="57">
        <v>0</v>
      </c>
      <c r="J716" s="24">
        <v>1970065.48</v>
      </c>
    </row>
    <row r="717" spans="1:10" x14ac:dyDescent="0.25">
      <c r="A717" s="20">
        <v>717</v>
      </c>
      <c r="B717" s="21">
        <v>46041</v>
      </c>
      <c r="C717" s="20" t="s">
        <v>815</v>
      </c>
      <c r="D717" s="20" t="s">
        <v>759</v>
      </c>
      <c r="E717" s="20"/>
      <c r="F717" s="22" t="s">
        <v>778</v>
      </c>
      <c r="G717" s="23" t="s">
        <v>745</v>
      </c>
      <c r="H717" s="57">
        <v>10</v>
      </c>
      <c r="I717" s="57">
        <v>0</v>
      </c>
      <c r="J717" s="24">
        <v>970065.48</v>
      </c>
    </row>
  </sheetData>
  <autoFilter ref="A1:J717">
    <sortState ref="A2:J717">
      <sortCondition ref="A1:A717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tabSelected="1" workbookViewId="0">
      <selection activeCell="K25" sqref="K25"/>
    </sheetView>
  </sheetViews>
  <sheetFormatPr defaultRowHeight="15" x14ac:dyDescent="0.25"/>
  <cols>
    <col min="1" max="1" width="19.85546875" bestFit="1" customWidth="1"/>
    <col min="2" max="2" width="24.140625" bestFit="1" customWidth="1"/>
    <col min="3" max="16" width="10.42578125" customWidth="1"/>
    <col min="17" max="17" width="12.5703125" customWidth="1"/>
    <col min="18" max="18" width="13.28515625" bestFit="1" customWidth="1"/>
  </cols>
  <sheetData>
    <row r="1" spans="1:18" x14ac:dyDescent="0.25">
      <c r="B1" s="101" t="s">
        <v>882</v>
      </c>
      <c r="C1" s="102"/>
      <c r="D1" s="103"/>
    </row>
    <row r="2" spans="1:18" x14ac:dyDescent="0.25">
      <c r="B2" s="104"/>
      <c r="C2" s="105"/>
      <c r="D2" s="106"/>
    </row>
    <row r="3" spans="1:18" ht="15.75" thickBot="1" x14ac:dyDescent="0.3">
      <c r="B3" s="104"/>
      <c r="C3" s="107"/>
      <c r="D3" s="108"/>
    </row>
    <row r="4" spans="1:18" ht="15.75" thickBot="1" x14ac:dyDescent="0.3">
      <c r="A4" s="109" t="s">
        <v>883</v>
      </c>
      <c r="B4" s="110"/>
    </row>
    <row r="5" spans="1:18" x14ac:dyDescent="0.25">
      <c r="A5" s="58"/>
      <c r="B5" s="58"/>
      <c r="C5" s="59" t="s">
        <v>81</v>
      </c>
      <c r="D5" s="59" t="s">
        <v>820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6" spans="1:18" x14ac:dyDescent="0.25">
      <c r="A6" s="58"/>
      <c r="B6" s="58"/>
      <c r="C6" s="58" t="s">
        <v>89</v>
      </c>
      <c r="D6" s="58"/>
      <c r="E6" s="58" t="s">
        <v>224</v>
      </c>
      <c r="F6" s="58"/>
      <c r="G6" s="58" t="s">
        <v>383</v>
      </c>
      <c r="H6" s="58"/>
      <c r="I6" s="58" t="s">
        <v>474</v>
      </c>
      <c r="J6" s="58"/>
      <c r="K6" s="58" t="s">
        <v>581</v>
      </c>
      <c r="L6" s="58"/>
      <c r="M6" s="58" t="s">
        <v>871</v>
      </c>
      <c r="N6" s="58"/>
      <c r="O6" s="58" t="s">
        <v>813</v>
      </c>
      <c r="P6" s="58"/>
      <c r="Q6" s="58" t="s">
        <v>816</v>
      </c>
      <c r="R6" s="58" t="s">
        <v>818</v>
      </c>
    </row>
    <row r="7" spans="1:18" x14ac:dyDescent="0.25">
      <c r="A7" s="59" t="s">
        <v>82</v>
      </c>
      <c r="B7" s="59" t="s">
        <v>84</v>
      </c>
      <c r="C7" s="58" t="s">
        <v>817</v>
      </c>
      <c r="D7" s="58" t="s">
        <v>819</v>
      </c>
      <c r="E7" s="58" t="s">
        <v>817</v>
      </c>
      <c r="F7" s="58" t="s">
        <v>819</v>
      </c>
      <c r="G7" s="58" t="s">
        <v>817</v>
      </c>
      <c r="H7" s="58" t="s">
        <v>819</v>
      </c>
      <c r="I7" s="58" t="s">
        <v>817</v>
      </c>
      <c r="J7" s="58" t="s">
        <v>819</v>
      </c>
      <c r="K7" s="58" t="s">
        <v>817</v>
      </c>
      <c r="L7" s="58" t="s">
        <v>819</v>
      </c>
      <c r="M7" s="58" t="s">
        <v>817</v>
      </c>
      <c r="N7" s="58" t="s">
        <v>819</v>
      </c>
      <c r="O7" s="58" t="s">
        <v>817</v>
      </c>
      <c r="P7" s="58" t="s">
        <v>819</v>
      </c>
      <c r="Q7" s="58"/>
      <c r="R7" s="58"/>
    </row>
    <row r="8" spans="1:18" x14ac:dyDescent="0.25">
      <c r="A8" s="58" t="s">
        <v>140</v>
      </c>
      <c r="B8" s="64" t="s">
        <v>141</v>
      </c>
      <c r="C8" s="64">
        <v>2</v>
      </c>
      <c r="D8" s="64">
        <v>0</v>
      </c>
      <c r="E8" s="64">
        <v>4</v>
      </c>
      <c r="F8" s="64">
        <v>0</v>
      </c>
      <c r="G8" s="64">
        <v>2.5</v>
      </c>
      <c r="H8" s="64">
        <v>0</v>
      </c>
      <c r="I8" s="64">
        <v>1.5</v>
      </c>
      <c r="J8" s="64">
        <v>0</v>
      </c>
      <c r="K8" s="64">
        <v>5.5</v>
      </c>
      <c r="L8" s="64">
        <v>0</v>
      </c>
      <c r="M8" s="64"/>
      <c r="N8" s="64"/>
      <c r="O8" s="64"/>
      <c r="P8" s="64"/>
      <c r="Q8" s="64">
        <v>15.5</v>
      </c>
      <c r="R8" s="64">
        <v>0</v>
      </c>
    </row>
    <row r="9" spans="1:18" x14ac:dyDescent="0.25">
      <c r="A9" s="61" t="s">
        <v>821</v>
      </c>
      <c r="B9" s="61"/>
      <c r="C9" s="61">
        <v>2</v>
      </c>
      <c r="D9" s="61">
        <v>0</v>
      </c>
      <c r="E9" s="61">
        <v>4</v>
      </c>
      <c r="F9" s="61">
        <v>0</v>
      </c>
      <c r="G9" s="61">
        <v>2.5</v>
      </c>
      <c r="H9" s="61">
        <v>0</v>
      </c>
      <c r="I9" s="61">
        <v>1.5</v>
      </c>
      <c r="J9" s="61">
        <v>0</v>
      </c>
      <c r="K9" s="61">
        <v>5.5</v>
      </c>
      <c r="L9" s="61">
        <v>0</v>
      </c>
      <c r="M9" s="61"/>
      <c r="N9" s="61"/>
      <c r="O9" s="61"/>
      <c r="P9" s="61"/>
      <c r="Q9" s="61">
        <v>15.5</v>
      </c>
      <c r="R9" s="61">
        <v>0</v>
      </c>
    </row>
    <row r="10" spans="1:18" x14ac:dyDescent="0.25">
      <c r="A10" s="58" t="s">
        <v>91</v>
      </c>
      <c r="B10" s="63" t="s">
        <v>884</v>
      </c>
      <c r="C10" s="63">
        <v>107.1</v>
      </c>
      <c r="D10" s="63">
        <v>96.7</v>
      </c>
      <c r="E10" s="63">
        <v>37.5</v>
      </c>
      <c r="F10" s="63">
        <v>56</v>
      </c>
      <c r="G10" s="63">
        <v>46.2</v>
      </c>
      <c r="H10" s="63">
        <v>4.3</v>
      </c>
      <c r="I10" s="63">
        <v>110.2</v>
      </c>
      <c r="J10" s="63">
        <v>28.849999999999998</v>
      </c>
      <c r="K10" s="63">
        <v>52</v>
      </c>
      <c r="L10" s="63">
        <v>7.5</v>
      </c>
      <c r="M10" s="63">
        <v>63</v>
      </c>
      <c r="N10" s="63">
        <v>35</v>
      </c>
      <c r="O10" s="63"/>
      <c r="P10" s="63"/>
      <c r="Q10" s="63">
        <v>416</v>
      </c>
      <c r="R10" s="63">
        <v>228.35</v>
      </c>
    </row>
    <row r="11" spans="1:18" x14ac:dyDescent="0.25">
      <c r="A11" s="61" t="s">
        <v>822</v>
      </c>
      <c r="B11" s="61"/>
      <c r="C11" s="61">
        <v>107.1</v>
      </c>
      <c r="D11" s="61">
        <v>96.7</v>
      </c>
      <c r="E11" s="61">
        <v>37.5</v>
      </c>
      <c r="F11" s="61">
        <v>56</v>
      </c>
      <c r="G11" s="61">
        <v>46.2</v>
      </c>
      <c r="H11" s="61">
        <v>4.3</v>
      </c>
      <c r="I11" s="61">
        <v>110.2</v>
      </c>
      <c r="J11" s="61">
        <v>28.849999999999998</v>
      </c>
      <c r="K11" s="61">
        <v>52</v>
      </c>
      <c r="L11" s="61">
        <v>7.5</v>
      </c>
      <c r="M11" s="61">
        <v>63</v>
      </c>
      <c r="N11" s="61">
        <v>35</v>
      </c>
      <c r="O11" s="61"/>
      <c r="P11" s="61"/>
      <c r="Q11" s="61">
        <v>416</v>
      </c>
      <c r="R11" s="61">
        <v>228.35</v>
      </c>
    </row>
    <row r="12" spans="1:18" x14ac:dyDescent="0.25">
      <c r="A12" s="58" t="s">
        <v>885</v>
      </c>
      <c r="B12" s="111" t="s">
        <v>886</v>
      </c>
      <c r="C12" s="111">
        <v>278.5</v>
      </c>
      <c r="D12" s="111">
        <v>0</v>
      </c>
      <c r="E12" s="111">
        <v>142</v>
      </c>
      <c r="F12" s="111">
        <v>7</v>
      </c>
      <c r="G12" s="111">
        <v>4.3</v>
      </c>
      <c r="H12" s="111">
        <v>0</v>
      </c>
      <c r="I12" s="111">
        <v>19.600000000000001</v>
      </c>
      <c r="J12" s="111">
        <v>6.3</v>
      </c>
      <c r="K12" s="111">
        <v>3.6</v>
      </c>
      <c r="L12" s="111">
        <v>7</v>
      </c>
      <c r="M12" s="111">
        <v>22</v>
      </c>
      <c r="N12" s="111">
        <v>0</v>
      </c>
      <c r="O12" s="111"/>
      <c r="P12" s="111"/>
      <c r="Q12" s="111">
        <v>470.00000000000006</v>
      </c>
      <c r="R12" s="111">
        <v>20.3</v>
      </c>
    </row>
    <row r="13" spans="1:18" x14ac:dyDescent="0.25">
      <c r="A13" s="61" t="s">
        <v>887</v>
      </c>
      <c r="B13" s="61"/>
      <c r="C13" s="61">
        <v>278.5</v>
      </c>
      <c r="D13" s="61">
        <v>0</v>
      </c>
      <c r="E13" s="61">
        <v>142</v>
      </c>
      <c r="F13" s="61">
        <v>7</v>
      </c>
      <c r="G13" s="61">
        <v>4.3</v>
      </c>
      <c r="H13" s="61">
        <v>0</v>
      </c>
      <c r="I13" s="61">
        <v>19.600000000000001</v>
      </c>
      <c r="J13" s="61">
        <v>6.3</v>
      </c>
      <c r="K13" s="61">
        <v>3.6</v>
      </c>
      <c r="L13" s="61">
        <v>7</v>
      </c>
      <c r="M13" s="61">
        <v>22</v>
      </c>
      <c r="N13" s="61">
        <v>0</v>
      </c>
      <c r="O13" s="61"/>
      <c r="P13" s="61"/>
      <c r="Q13" s="61">
        <v>470.00000000000006</v>
      </c>
      <c r="R13" s="61">
        <v>20.3</v>
      </c>
    </row>
    <row r="14" spans="1:18" x14ac:dyDescent="0.25">
      <c r="A14" s="58" t="s">
        <v>788</v>
      </c>
      <c r="B14" s="112" t="s">
        <v>870</v>
      </c>
      <c r="C14" s="112">
        <v>0.47623300000000002</v>
      </c>
      <c r="D14" s="112">
        <v>30.325229999999998</v>
      </c>
      <c r="E14" s="112">
        <v>0.13307920000000001</v>
      </c>
      <c r="F14" s="112">
        <v>10.494800000000001</v>
      </c>
      <c r="G14" s="112">
        <v>0.5722799999999999</v>
      </c>
      <c r="H14" s="112">
        <v>38.535560000000004</v>
      </c>
      <c r="I14" s="112">
        <v>0.33318000000000003</v>
      </c>
      <c r="J14" s="112">
        <v>21.993659999999998</v>
      </c>
      <c r="K14" s="112"/>
      <c r="L14" s="112"/>
      <c r="M14" s="112">
        <v>0.61294999999999999</v>
      </c>
      <c r="N14" s="112">
        <v>45.257670000000005</v>
      </c>
      <c r="O14" s="112"/>
      <c r="P14" s="112"/>
      <c r="Q14" s="112">
        <v>2.1277222</v>
      </c>
      <c r="R14" s="112">
        <v>146.60692</v>
      </c>
    </row>
    <row r="15" spans="1:18" x14ac:dyDescent="0.25">
      <c r="A15" s="58"/>
      <c r="B15" s="112" t="s">
        <v>872</v>
      </c>
      <c r="C15" s="112"/>
      <c r="D15" s="112"/>
      <c r="E15" s="112"/>
      <c r="F15" s="112"/>
      <c r="G15" s="112">
        <v>0.75</v>
      </c>
      <c r="H15" s="112">
        <v>0</v>
      </c>
      <c r="I15" s="112"/>
      <c r="J15" s="112"/>
      <c r="K15" s="112"/>
      <c r="L15" s="112"/>
      <c r="M15" s="112"/>
      <c r="N15" s="112"/>
      <c r="O15" s="112"/>
      <c r="P15" s="112"/>
      <c r="Q15" s="112">
        <v>0.75</v>
      </c>
      <c r="R15" s="112">
        <v>0</v>
      </c>
    </row>
    <row r="16" spans="1:18" x14ac:dyDescent="0.25">
      <c r="A16" s="58"/>
      <c r="B16" s="112" t="s">
        <v>873</v>
      </c>
      <c r="C16" s="112"/>
      <c r="D16" s="112"/>
      <c r="E16" s="112">
        <v>1.51857</v>
      </c>
      <c r="F16" s="112">
        <v>0</v>
      </c>
      <c r="G16" s="112">
        <v>0.57162000000000002</v>
      </c>
      <c r="H16" s="112">
        <v>0</v>
      </c>
      <c r="I16" s="112">
        <v>1.26467</v>
      </c>
      <c r="J16" s="112">
        <v>0</v>
      </c>
      <c r="K16" s="112">
        <v>1.33636</v>
      </c>
      <c r="L16" s="112">
        <v>0</v>
      </c>
      <c r="M16" s="112">
        <v>1.2366299999999999</v>
      </c>
      <c r="N16" s="112">
        <v>0</v>
      </c>
      <c r="O16" s="112"/>
      <c r="P16" s="112"/>
      <c r="Q16" s="112">
        <v>5.9278499999999994</v>
      </c>
      <c r="R16" s="112">
        <v>0</v>
      </c>
    </row>
    <row r="17" spans="1:18" x14ac:dyDescent="0.25">
      <c r="A17" s="61" t="s">
        <v>824</v>
      </c>
      <c r="B17" s="61"/>
      <c r="C17" s="61">
        <v>0.47623300000000002</v>
      </c>
      <c r="D17" s="61">
        <v>30.325229999999998</v>
      </c>
      <c r="E17" s="61">
        <v>1.6516492</v>
      </c>
      <c r="F17" s="61">
        <v>10.494800000000001</v>
      </c>
      <c r="G17" s="61">
        <v>1.8938999999999999</v>
      </c>
      <c r="H17" s="61">
        <v>38.535560000000004</v>
      </c>
      <c r="I17" s="61">
        <v>1.59785</v>
      </c>
      <c r="J17" s="61">
        <v>21.993659999999998</v>
      </c>
      <c r="K17" s="61">
        <v>1.33636</v>
      </c>
      <c r="L17" s="61">
        <v>0</v>
      </c>
      <c r="M17" s="61">
        <v>1.84958</v>
      </c>
      <c r="N17" s="61">
        <v>45.257670000000005</v>
      </c>
      <c r="O17" s="61"/>
      <c r="P17" s="61"/>
      <c r="Q17" s="61">
        <v>8.8055722000000003</v>
      </c>
      <c r="R17" s="61">
        <v>146.60692</v>
      </c>
    </row>
    <row r="18" spans="1:18" x14ac:dyDescent="0.25">
      <c r="A18" s="58" t="s">
        <v>752</v>
      </c>
      <c r="B18" s="113" t="s">
        <v>874</v>
      </c>
      <c r="C18" s="113">
        <v>3.36463</v>
      </c>
      <c r="D18" s="113">
        <v>0</v>
      </c>
      <c r="E18" s="113">
        <v>3.1642199999999998</v>
      </c>
      <c r="F18" s="113">
        <v>0</v>
      </c>
      <c r="G18" s="113">
        <v>3.27291</v>
      </c>
      <c r="H18" s="113">
        <v>0</v>
      </c>
      <c r="I18" s="113">
        <v>3.1647099999999999</v>
      </c>
      <c r="J18" s="113">
        <v>0</v>
      </c>
      <c r="K18" s="113">
        <v>3.2792599999999998</v>
      </c>
      <c r="L18" s="113">
        <v>0</v>
      </c>
      <c r="M18" s="113"/>
      <c r="N18" s="113"/>
      <c r="O18" s="113"/>
      <c r="P18" s="113"/>
      <c r="Q18" s="113">
        <v>16.245729999999998</v>
      </c>
      <c r="R18" s="113">
        <v>0</v>
      </c>
    </row>
    <row r="19" spans="1:18" x14ac:dyDescent="0.25">
      <c r="A19" s="61" t="s">
        <v>825</v>
      </c>
      <c r="B19" s="61"/>
      <c r="C19" s="61">
        <v>3.36463</v>
      </c>
      <c r="D19" s="61">
        <v>0</v>
      </c>
      <c r="E19" s="61">
        <v>3.1642199999999998</v>
      </c>
      <c r="F19" s="61">
        <v>0</v>
      </c>
      <c r="G19" s="61">
        <v>3.27291</v>
      </c>
      <c r="H19" s="61">
        <v>0</v>
      </c>
      <c r="I19" s="61">
        <v>3.1647099999999999</v>
      </c>
      <c r="J19" s="61">
        <v>0</v>
      </c>
      <c r="K19" s="61">
        <v>3.2792599999999998</v>
      </c>
      <c r="L19" s="61">
        <v>0</v>
      </c>
      <c r="M19" s="61"/>
      <c r="N19" s="61"/>
      <c r="O19" s="61"/>
      <c r="P19" s="61"/>
      <c r="Q19" s="61">
        <v>16.245729999999998</v>
      </c>
      <c r="R19" s="61">
        <v>0</v>
      </c>
    </row>
    <row r="20" spans="1:18" x14ac:dyDescent="0.25">
      <c r="A20" s="58" t="s">
        <v>787</v>
      </c>
      <c r="B20" s="114" t="s">
        <v>877</v>
      </c>
      <c r="C20" s="114">
        <v>0</v>
      </c>
      <c r="D20" s="114">
        <v>144</v>
      </c>
      <c r="E20" s="114"/>
      <c r="F20" s="114"/>
      <c r="G20" s="114"/>
      <c r="H20" s="114"/>
      <c r="I20" s="114"/>
      <c r="J20" s="114"/>
      <c r="K20" s="114"/>
      <c r="L20" s="114"/>
      <c r="M20" s="114">
        <v>80</v>
      </c>
      <c r="N20" s="114">
        <v>0</v>
      </c>
      <c r="O20" s="114"/>
      <c r="P20" s="114"/>
      <c r="Q20" s="114">
        <v>80</v>
      </c>
      <c r="R20" s="114">
        <v>144</v>
      </c>
    </row>
    <row r="21" spans="1:18" x14ac:dyDescent="0.25">
      <c r="A21" s="58"/>
      <c r="B21" s="114" t="s">
        <v>880</v>
      </c>
      <c r="C21" s="114"/>
      <c r="D21" s="114"/>
      <c r="E21" s="114"/>
      <c r="F21" s="114"/>
      <c r="G21" s="114"/>
      <c r="H21" s="114"/>
      <c r="I21" s="114"/>
      <c r="J21" s="114"/>
      <c r="K21" s="114">
        <v>0</v>
      </c>
      <c r="L21" s="114">
        <v>9.9</v>
      </c>
      <c r="M21" s="114"/>
      <c r="N21" s="114"/>
      <c r="O21" s="114"/>
      <c r="P21" s="114"/>
      <c r="Q21" s="114">
        <v>0</v>
      </c>
      <c r="R21" s="114">
        <v>9.9</v>
      </c>
    </row>
    <row r="22" spans="1:18" x14ac:dyDescent="0.25">
      <c r="A22" s="58"/>
      <c r="B22" s="114" t="s">
        <v>875</v>
      </c>
      <c r="C22" s="114">
        <v>12.5</v>
      </c>
      <c r="D22" s="114">
        <v>0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>
        <v>12.5</v>
      </c>
      <c r="R22" s="114">
        <v>0</v>
      </c>
    </row>
    <row r="23" spans="1:18" x14ac:dyDescent="0.25">
      <c r="A23" s="58"/>
      <c r="B23" s="114" t="s">
        <v>879</v>
      </c>
      <c r="C23" s="114"/>
      <c r="D23" s="114"/>
      <c r="E23" s="114"/>
      <c r="F23" s="114"/>
      <c r="G23" s="114"/>
      <c r="H23" s="114"/>
      <c r="I23" s="114">
        <v>25</v>
      </c>
      <c r="J23" s="114">
        <v>0</v>
      </c>
      <c r="K23" s="114">
        <v>25</v>
      </c>
      <c r="L23" s="114">
        <v>0</v>
      </c>
      <c r="M23" s="114">
        <v>25</v>
      </c>
      <c r="N23" s="114">
        <v>0</v>
      </c>
      <c r="O23" s="114"/>
      <c r="P23" s="114"/>
      <c r="Q23" s="114">
        <v>75</v>
      </c>
      <c r="R23" s="114">
        <v>0</v>
      </c>
    </row>
    <row r="24" spans="1:18" x14ac:dyDescent="0.25">
      <c r="A24" s="58"/>
      <c r="B24" s="114" t="s">
        <v>878</v>
      </c>
      <c r="C24" s="114">
        <v>0</v>
      </c>
      <c r="D24" s="114">
        <v>36</v>
      </c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>
        <v>0</v>
      </c>
      <c r="R24" s="114">
        <v>36</v>
      </c>
    </row>
    <row r="25" spans="1:18" x14ac:dyDescent="0.25">
      <c r="A25" s="58"/>
      <c r="B25" s="114" t="s">
        <v>876</v>
      </c>
      <c r="C25" s="114">
        <v>12.5</v>
      </c>
      <c r="D25" s="114">
        <v>0</v>
      </c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>
        <v>12.5</v>
      </c>
      <c r="R25" s="114">
        <v>0</v>
      </c>
    </row>
    <row r="26" spans="1:18" x14ac:dyDescent="0.25">
      <c r="A26" s="61" t="s">
        <v>826</v>
      </c>
      <c r="B26" s="61"/>
      <c r="C26" s="61">
        <v>25</v>
      </c>
      <c r="D26" s="61">
        <v>180</v>
      </c>
      <c r="E26" s="61"/>
      <c r="F26" s="61"/>
      <c r="G26" s="61"/>
      <c r="H26" s="61"/>
      <c r="I26" s="61">
        <v>25</v>
      </c>
      <c r="J26" s="61">
        <v>0</v>
      </c>
      <c r="K26" s="61">
        <v>25</v>
      </c>
      <c r="L26" s="61">
        <v>9.9</v>
      </c>
      <c r="M26" s="61">
        <v>105</v>
      </c>
      <c r="N26" s="61">
        <v>0</v>
      </c>
      <c r="O26" s="61"/>
      <c r="P26" s="61"/>
      <c r="Q26" s="61">
        <v>180</v>
      </c>
      <c r="R26" s="61">
        <v>189.9</v>
      </c>
    </row>
    <row r="27" spans="1:18" x14ac:dyDescent="0.25">
      <c r="A27" s="58" t="s">
        <v>747</v>
      </c>
      <c r="B27" s="115" t="s">
        <v>881</v>
      </c>
      <c r="C27" s="115">
        <v>4.4249999999999998E-2</v>
      </c>
      <c r="D27" s="115">
        <v>0</v>
      </c>
      <c r="E27" s="115"/>
      <c r="F27" s="115"/>
      <c r="G27" s="115"/>
      <c r="H27" s="115"/>
      <c r="I27" s="115">
        <v>4.4249999999999998E-2</v>
      </c>
      <c r="J27" s="115">
        <v>0</v>
      </c>
      <c r="K27" s="115">
        <v>4.4249999999999998E-2</v>
      </c>
      <c r="L27" s="115">
        <v>0</v>
      </c>
      <c r="M27" s="115"/>
      <c r="N27" s="115"/>
      <c r="O27" s="115"/>
      <c r="P27" s="115"/>
      <c r="Q27" s="115">
        <v>0.13274999999999998</v>
      </c>
      <c r="R27" s="115">
        <v>0</v>
      </c>
    </row>
    <row r="28" spans="1:18" x14ac:dyDescent="0.25">
      <c r="A28" s="61" t="s">
        <v>827</v>
      </c>
      <c r="B28" s="61"/>
      <c r="C28" s="61">
        <v>4.4249999999999998E-2</v>
      </c>
      <c r="D28" s="61">
        <v>0</v>
      </c>
      <c r="E28" s="61"/>
      <c r="F28" s="61"/>
      <c r="G28" s="61"/>
      <c r="H28" s="61"/>
      <c r="I28" s="61">
        <v>4.4249999999999998E-2</v>
      </c>
      <c r="J28" s="61">
        <v>0</v>
      </c>
      <c r="K28" s="61">
        <v>4.4249999999999998E-2</v>
      </c>
      <c r="L28" s="61">
        <v>0</v>
      </c>
      <c r="M28" s="61"/>
      <c r="N28" s="61"/>
      <c r="O28" s="61"/>
      <c r="P28" s="61"/>
      <c r="Q28" s="61">
        <v>0.13274999999999998</v>
      </c>
      <c r="R28" s="61">
        <v>0</v>
      </c>
    </row>
    <row r="29" spans="1:18" x14ac:dyDescent="0.25">
      <c r="A29" s="58" t="s">
        <v>469</v>
      </c>
      <c r="B29" s="116" t="s">
        <v>469</v>
      </c>
      <c r="C29" s="116"/>
      <c r="D29" s="116"/>
      <c r="E29" s="116">
        <v>0.42482999999999999</v>
      </c>
      <c r="F29" s="116">
        <v>0</v>
      </c>
      <c r="G29" s="116"/>
      <c r="H29" s="116"/>
      <c r="I29" s="116">
        <v>0.34026000000000001</v>
      </c>
      <c r="J29" s="116">
        <v>0</v>
      </c>
      <c r="K29" s="116"/>
      <c r="L29" s="116"/>
      <c r="M29" s="116"/>
      <c r="N29" s="116"/>
      <c r="O29" s="116"/>
      <c r="P29" s="116"/>
      <c r="Q29" s="116">
        <v>0.76509000000000005</v>
      </c>
      <c r="R29" s="116">
        <v>0</v>
      </c>
    </row>
    <row r="30" spans="1:18" x14ac:dyDescent="0.25">
      <c r="A30" s="61" t="s">
        <v>828</v>
      </c>
      <c r="B30" s="61"/>
      <c r="C30" s="61"/>
      <c r="D30" s="61"/>
      <c r="E30" s="61">
        <v>0.42482999999999999</v>
      </c>
      <c r="F30" s="61">
        <v>0</v>
      </c>
      <c r="G30" s="61"/>
      <c r="H30" s="61"/>
      <c r="I30" s="61">
        <v>0.34026000000000001</v>
      </c>
      <c r="J30" s="61">
        <v>0</v>
      </c>
      <c r="K30" s="61"/>
      <c r="L30" s="61"/>
      <c r="M30" s="61"/>
      <c r="N30" s="61"/>
      <c r="O30" s="61"/>
      <c r="P30" s="61"/>
      <c r="Q30" s="61">
        <v>0.76509000000000005</v>
      </c>
      <c r="R30" s="61">
        <v>0</v>
      </c>
    </row>
    <row r="31" spans="1:18" x14ac:dyDescent="0.25">
      <c r="A31" s="58" t="s">
        <v>888</v>
      </c>
      <c r="B31" s="117" t="s">
        <v>298</v>
      </c>
      <c r="C31" s="117">
        <v>8.8500000000000002E-3</v>
      </c>
      <c r="D31" s="117">
        <v>0</v>
      </c>
      <c r="E31" s="117">
        <v>2.3600000000000001E-3</v>
      </c>
      <c r="F31" s="117">
        <v>0</v>
      </c>
      <c r="G31" s="117">
        <v>3.3569999999999996E-2</v>
      </c>
      <c r="H31" s="117">
        <v>0</v>
      </c>
      <c r="I31" s="117">
        <v>3.0599999999999998E-3</v>
      </c>
      <c r="J31" s="117">
        <v>0</v>
      </c>
      <c r="K31" s="117">
        <v>3.211E-2</v>
      </c>
      <c r="L31" s="117">
        <v>0</v>
      </c>
      <c r="M31" s="117"/>
      <c r="N31" s="117"/>
      <c r="O31" s="117"/>
      <c r="P31" s="117"/>
      <c r="Q31" s="117">
        <v>7.9949999999999993E-2</v>
      </c>
      <c r="R31" s="117">
        <v>0</v>
      </c>
    </row>
    <row r="32" spans="1:18" x14ac:dyDescent="0.25">
      <c r="A32" s="58"/>
      <c r="B32" s="117" t="s">
        <v>889</v>
      </c>
      <c r="C32" s="117">
        <v>0.5518054</v>
      </c>
      <c r="D32" s="117">
        <v>0</v>
      </c>
      <c r="E32" s="117"/>
      <c r="F32" s="117"/>
      <c r="G32" s="117">
        <v>0.82941539999999991</v>
      </c>
      <c r="H32" s="117">
        <v>0</v>
      </c>
      <c r="I32" s="117">
        <v>0.53303540000000005</v>
      </c>
      <c r="J32" s="117">
        <v>0</v>
      </c>
      <c r="K32" s="117"/>
      <c r="L32" s="117"/>
      <c r="M32" s="117"/>
      <c r="N32" s="117"/>
      <c r="O32" s="117"/>
      <c r="P32" s="117"/>
      <c r="Q32" s="117">
        <v>1.9142562000000001</v>
      </c>
      <c r="R32" s="117">
        <v>0</v>
      </c>
    </row>
    <row r="33" spans="1:18" x14ac:dyDescent="0.25">
      <c r="A33" s="58"/>
      <c r="B33" s="117" t="s">
        <v>890</v>
      </c>
      <c r="C33" s="117"/>
      <c r="D33" s="117"/>
      <c r="E33" s="117">
        <v>1.8000000000000001E-4</v>
      </c>
      <c r="F33" s="117">
        <v>0</v>
      </c>
      <c r="G33" s="117">
        <v>2.1669999999999998E-2</v>
      </c>
      <c r="H33" s="117">
        <v>0</v>
      </c>
      <c r="I33" s="117"/>
      <c r="J33" s="117"/>
      <c r="K33" s="117">
        <v>5.1999999999999995E-4</v>
      </c>
      <c r="L33" s="117">
        <v>0</v>
      </c>
      <c r="M33" s="117"/>
      <c r="N33" s="117"/>
      <c r="O33" s="117"/>
      <c r="P33" s="117"/>
      <c r="Q33" s="117">
        <v>2.2369999999999998E-2</v>
      </c>
      <c r="R33" s="117">
        <v>0</v>
      </c>
    </row>
    <row r="34" spans="1:18" x14ac:dyDescent="0.25">
      <c r="A34" s="58"/>
      <c r="B34" s="117" t="s">
        <v>891</v>
      </c>
      <c r="C34" s="117">
        <v>0.22</v>
      </c>
      <c r="D34" s="117">
        <v>0</v>
      </c>
      <c r="E34" s="117">
        <v>0.25</v>
      </c>
      <c r="F34" s="117">
        <v>0</v>
      </c>
      <c r="G34" s="117">
        <v>0.23333999999999999</v>
      </c>
      <c r="H34" s="117">
        <v>0</v>
      </c>
      <c r="I34" s="117"/>
      <c r="J34" s="117"/>
      <c r="K34" s="117">
        <v>0.25</v>
      </c>
      <c r="L34" s="117">
        <v>0</v>
      </c>
      <c r="M34" s="117">
        <v>0.25</v>
      </c>
      <c r="N34" s="117">
        <v>0</v>
      </c>
      <c r="O34" s="117"/>
      <c r="P34" s="117"/>
      <c r="Q34" s="117">
        <v>1.2033399999999999</v>
      </c>
      <c r="R34" s="117">
        <v>0</v>
      </c>
    </row>
    <row r="35" spans="1:18" x14ac:dyDescent="0.25">
      <c r="A35" s="58"/>
      <c r="B35" s="117" t="s">
        <v>125</v>
      </c>
      <c r="C35" s="117">
        <v>3.4346700000000001</v>
      </c>
      <c r="D35" s="117">
        <v>0</v>
      </c>
      <c r="E35" s="117">
        <v>1.5490599999999999</v>
      </c>
      <c r="F35" s="117">
        <v>0</v>
      </c>
      <c r="G35" s="117">
        <v>1.44442</v>
      </c>
      <c r="H35" s="117">
        <v>0</v>
      </c>
      <c r="I35" s="117">
        <v>3.8655400000000002</v>
      </c>
      <c r="J35" s="117">
        <v>0</v>
      </c>
      <c r="K35" s="117">
        <v>4.5589599999999999</v>
      </c>
      <c r="L35" s="117">
        <v>0</v>
      </c>
      <c r="M35" s="117">
        <v>1.6468</v>
      </c>
      <c r="N35" s="117">
        <v>0</v>
      </c>
      <c r="O35" s="117"/>
      <c r="P35" s="117"/>
      <c r="Q35" s="117">
        <v>16.49945</v>
      </c>
      <c r="R35" s="117">
        <v>0</v>
      </c>
    </row>
    <row r="36" spans="1:18" x14ac:dyDescent="0.25">
      <c r="A36" s="58"/>
      <c r="B36" s="117" t="s">
        <v>892</v>
      </c>
      <c r="C36" s="117"/>
      <c r="D36" s="117"/>
      <c r="E36" s="117"/>
      <c r="F36" s="117"/>
      <c r="G36" s="117"/>
      <c r="H36" s="117"/>
      <c r="I36" s="117">
        <v>4.0515799999999998E-2</v>
      </c>
      <c r="J36" s="117">
        <v>0</v>
      </c>
      <c r="K36" s="117"/>
      <c r="L36" s="117"/>
      <c r="M36" s="117"/>
      <c r="N36" s="117"/>
      <c r="O36" s="117"/>
      <c r="P36" s="117"/>
      <c r="Q36" s="117">
        <v>4.0515799999999998E-2</v>
      </c>
      <c r="R36" s="117">
        <v>0</v>
      </c>
    </row>
    <row r="37" spans="1:18" x14ac:dyDescent="0.25">
      <c r="A37" s="61" t="s">
        <v>893</v>
      </c>
      <c r="B37" s="61"/>
      <c r="C37" s="61">
        <v>4.2153254000000002</v>
      </c>
      <c r="D37" s="61">
        <v>0</v>
      </c>
      <c r="E37" s="61">
        <v>1.8015999999999999</v>
      </c>
      <c r="F37" s="61">
        <v>0</v>
      </c>
      <c r="G37" s="61">
        <v>2.5624153999999999</v>
      </c>
      <c r="H37" s="61">
        <v>0</v>
      </c>
      <c r="I37" s="61">
        <v>4.4421511999999996</v>
      </c>
      <c r="J37" s="61">
        <v>0</v>
      </c>
      <c r="K37" s="61">
        <v>4.8415900000000001</v>
      </c>
      <c r="L37" s="61">
        <v>0</v>
      </c>
      <c r="M37" s="61">
        <v>1.8968</v>
      </c>
      <c r="N37" s="61">
        <v>0</v>
      </c>
      <c r="O37" s="61"/>
      <c r="P37" s="61"/>
      <c r="Q37" s="61">
        <v>19.759882000000001</v>
      </c>
      <c r="R37" s="61">
        <v>0</v>
      </c>
    </row>
    <row r="38" spans="1:18" x14ac:dyDescent="0.25">
      <c r="A38" s="58" t="s">
        <v>759</v>
      </c>
      <c r="B38" s="58" t="s">
        <v>894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>
        <v>0.58499999999999996</v>
      </c>
      <c r="N38" s="58">
        <v>0</v>
      </c>
      <c r="O38" s="58"/>
      <c r="P38" s="58"/>
      <c r="Q38" s="58">
        <v>0.58499999999999996</v>
      </c>
      <c r="R38" s="58">
        <v>0</v>
      </c>
    </row>
    <row r="39" spans="1:18" x14ac:dyDescent="0.25">
      <c r="A39" s="58"/>
      <c r="B39" s="118" t="s">
        <v>895</v>
      </c>
      <c r="C39" s="118"/>
      <c r="D39" s="118"/>
      <c r="E39" s="118"/>
      <c r="F39" s="118"/>
      <c r="G39" s="118"/>
      <c r="H39" s="118"/>
      <c r="I39" s="118">
        <v>10</v>
      </c>
      <c r="J39" s="118">
        <v>0</v>
      </c>
      <c r="K39" s="118">
        <v>18</v>
      </c>
      <c r="L39" s="118">
        <v>0</v>
      </c>
      <c r="M39" s="118">
        <v>23</v>
      </c>
      <c r="N39" s="118">
        <v>0</v>
      </c>
      <c r="O39" s="118"/>
      <c r="P39" s="118"/>
      <c r="Q39" s="118">
        <v>51</v>
      </c>
      <c r="R39" s="118">
        <v>0</v>
      </c>
    </row>
    <row r="40" spans="1:18" x14ac:dyDescent="0.25">
      <c r="A40" s="58"/>
      <c r="B40" s="58" t="s">
        <v>896</v>
      </c>
      <c r="C40" s="58">
        <v>0.45</v>
      </c>
      <c r="D40" s="58">
        <v>0</v>
      </c>
      <c r="E40" s="58">
        <v>0.45</v>
      </c>
      <c r="F40" s="58">
        <v>0</v>
      </c>
      <c r="G40" s="58">
        <v>0.45</v>
      </c>
      <c r="H40" s="58">
        <v>0</v>
      </c>
      <c r="I40" s="58">
        <v>0.45</v>
      </c>
      <c r="J40" s="58">
        <v>0</v>
      </c>
      <c r="K40" s="58">
        <v>0.45</v>
      </c>
      <c r="L40" s="58">
        <v>0</v>
      </c>
      <c r="M40" s="58">
        <v>0.3629</v>
      </c>
      <c r="N40" s="58">
        <v>0</v>
      </c>
      <c r="O40" s="58"/>
      <c r="P40" s="58"/>
      <c r="Q40" s="58">
        <v>2.6128999999999998</v>
      </c>
      <c r="R40" s="58">
        <v>0</v>
      </c>
    </row>
    <row r="41" spans="1:18" x14ac:dyDescent="0.25">
      <c r="A41" s="58"/>
      <c r="B41" s="58" t="s">
        <v>897</v>
      </c>
      <c r="C41" s="58"/>
      <c r="D41" s="58"/>
      <c r="E41" s="58">
        <v>3.46</v>
      </c>
      <c r="F41" s="58">
        <v>0</v>
      </c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>
        <v>3.46</v>
      </c>
      <c r="R41" s="58">
        <v>0</v>
      </c>
    </row>
    <row r="42" spans="1:18" x14ac:dyDescent="0.25">
      <c r="A42" s="58"/>
      <c r="B42" s="58" t="s">
        <v>898</v>
      </c>
      <c r="C42" s="58"/>
      <c r="D42" s="58"/>
      <c r="E42" s="58"/>
      <c r="F42" s="58"/>
      <c r="G42" s="58"/>
      <c r="H42" s="58"/>
      <c r="I42" s="58">
        <v>22</v>
      </c>
      <c r="J42" s="58">
        <v>0</v>
      </c>
      <c r="K42" s="58"/>
      <c r="L42" s="58"/>
      <c r="M42" s="58"/>
      <c r="N42" s="58"/>
      <c r="O42" s="58"/>
      <c r="P42" s="58"/>
      <c r="Q42" s="58">
        <v>22</v>
      </c>
      <c r="R42" s="58">
        <v>0</v>
      </c>
    </row>
    <row r="43" spans="1:18" x14ac:dyDescent="0.25">
      <c r="A43" s="58"/>
      <c r="B43" s="58" t="s">
        <v>789</v>
      </c>
      <c r="C43" s="58">
        <v>0.3367754</v>
      </c>
      <c r="D43" s="58">
        <v>0</v>
      </c>
      <c r="E43" s="58">
        <v>3.6076700000000003E-2</v>
      </c>
      <c r="F43" s="58">
        <v>0</v>
      </c>
      <c r="G43" s="58"/>
      <c r="H43" s="58"/>
      <c r="I43" s="58">
        <v>2.6790399999999999E-2</v>
      </c>
      <c r="J43" s="58">
        <v>0</v>
      </c>
      <c r="K43" s="58">
        <v>0.378</v>
      </c>
      <c r="L43" s="58">
        <v>0</v>
      </c>
      <c r="M43" s="58">
        <v>2.8235400000000001E-2</v>
      </c>
      <c r="N43" s="58">
        <v>0</v>
      </c>
      <c r="O43" s="58"/>
      <c r="P43" s="58"/>
      <c r="Q43" s="58">
        <v>0.80587790000000004</v>
      </c>
      <c r="R43" s="58">
        <v>0</v>
      </c>
    </row>
    <row r="44" spans="1:18" x14ac:dyDescent="0.25">
      <c r="A44" s="58"/>
      <c r="B44" s="58" t="s">
        <v>899</v>
      </c>
      <c r="C44" s="58">
        <v>2</v>
      </c>
      <c r="D44" s="58">
        <v>0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>
        <v>2</v>
      </c>
      <c r="R44" s="58">
        <v>0</v>
      </c>
    </row>
    <row r="45" spans="1:18" x14ac:dyDescent="0.25">
      <c r="A45" s="58"/>
      <c r="B45" s="58" t="s">
        <v>900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>
        <v>1</v>
      </c>
      <c r="N45" s="58">
        <v>0</v>
      </c>
      <c r="O45" s="58"/>
      <c r="P45" s="58"/>
      <c r="Q45" s="58">
        <v>1</v>
      </c>
      <c r="R45" s="58">
        <v>0</v>
      </c>
    </row>
    <row r="46" spans="1:18" x14ac:dyDescent="0.25">
      <c r="A46" s="58"/>
      <c r="B46" s="58" t="s">
        <v>901</v>
      </c>
      <c r="C46" s="58">
        <v>1.2</v>
      </c>
      <c r="D46" s="58">
        <v>0</v>
      </c>
      <c r="E46" s="58">
        <v>0.2</v>
      </c>
      <c r="F46" s="58">
        <v>0</v>
      </c>
      <c r="G46" s="58">
        <v>0.2</v>
      </c>
      <c r="H46" s="58">
        <v>0</v>
      </c>
      <c r="I46" s="58">
        <v>0.15</v>
      </c>
      <c r="J46" s="58">
        <v>0</v>
      </c>
      <c r="K46" s="58">
        <v>0.15</v>
      </c>
      <c r="L46" s="58">
        <v>0</v>
      </c>
      <c r="M46" s="58">
        <v>0.2</v>
      </c>
      <c r="N46" s="58">
        <v>0</v>
      </c>
      <c r="O46" s="58"/>
      <c r="P46" s="58"/>
      <c r="Q46" s="58">
        <v>2.0999999999999996</v>
      </c>
      <c r="R46" s="58">
        <v>0</v>
      </c>
    </row>
    <row r="47" spans="1:18" x14ac:dyDescent="0.25">
      <c r="A47" s="58"/>
      <c r="B47" s="58" t="s">
        <v>902</v>
      </c>
      <c r="C47" s="58">
        <v>1.15534</v>
      </c>
      <c r="D47" s="58">
        <v>0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>
        <v>1.15534</v>
      </c>
      <c r="R47" s="58">
        <v>0</v>
      </c>
    </row>
    <row r="48" spans="1:18" x14ac:dyDescent="0.25">
      <c r="A48" s="58"/>
      <c r="B48" s="58" t="s">
        <v>903</v>
      </c>
      <c r="C48" s="58"/>
      <c r="D48" s="58"/>
      <c r="E48" s="58"/>
      <c r="F48" s="58"/>
      <c r="G48" s="58"/>
      <c r="H48" s="58"/>
      <c r="I48" s="58">
        <v>0.36503999999999998</v>
      </c>
      <c r="J48" s="58">
        <v>0</v>
      </c>
      <c r="K48" s="58">
        <v>0.53908</v>
      </c>
      <c r="L48" s="58">
        <v>0</v>
      </c>
      <c r="M48" s="58"/>
      <c r="N48" s="58"/>
      <c r="O48" s="58"/>
      <c r="P48" s="58"/>
      <c r="Q48" s="58">
        <v>0.90412000000000003</v>
      </c>
      <c r="R48" s="58">
        <v>0</v>
      </c>
    </row>
    <row r="49" spans="1:18" x14ac:dyDescent="0.25">
      <c r="A49" s="58"/>
      <c r="B49" s="118" t="s">
        <v>765</v>
      </c>
      <c r="C49" s="118"/>
      <c r="D49" s="118"/>
      <c r="E49" s="118"/>
      <c r="F49" s="118"/>
      <c r="G49" s="118"/>
      <c r="H49" s="118"/>
      <c r="I49" s="118">
        <v>20</v>
      </c>
      <c r="J49" s="118">
        <v>0</v>
      </c>
      <c r="K49" s="118"/>
      <c r="L49" s="118"/>
      <c r="M49" s="118"/>
      <c r="N49" s="118"/>
      <c r="O49" s="118"/>
      <c r="P49" s="118"/>
      <c r="Q49" s="118">
        <v>20</v>
      </c>
      <c r="R49" s="118">
        <v>0</v>
      </c>
    </row>
    <row r="50" spans="1:18" x14ac:dyDescent="0.25">
      <c r="A50" s="58"/>
      <c r="B50" s="58" t="s">
        <v>904</v>
      </c>
      <c r="C50" s="58">
        <v>0.12</v>
      </c>
      <c r="D50" s="58">
        <v>0</v>
      </c>
      <c r="E50" s="58">
        <v>0.16297999999999999</v>
      </c>
      <c r="F50" s="58">
        <v>0</v>
      </c>
      <c r="G50" s="58">
        <v>0.12</v>
      </c>
      <c r="H50" s="58">
        <v>0</v>
      </c>
      <c r="I50" s="58">
        <v>0.16999999999999998</v>
      </c>
      <c r="J50" s="58">
        <v>0</v>
      </c>
      <c r="K50" s="58">
        <v>0.12</v>
      </c>
      <c r="L50" s="58">
        <v>0</v>
      </c>
      <c r="M50" s="58"/>
      <c r="N50" s="58"/>
      <c r="O50" s="58"/>
      <c r="P50" s="58"/>
      <c r="Q50" s="58">
        <v>0.69298000000000004</v>
      </c>
      <c r="R50" s="58">
        <v>0</v>
      </c>
    </row>
    <row r="51" spans="1:18" x14ac:dyDescent="0.25">
      <c r="A51" s="58"/>
      <c r="B51" s="70" t="s">
        <v>905</v>
      </c>
      <c r="C51" s="70">
        <v>5.85548</v>
      </c>
      <c r="D51" s="70">
        <v>0</v>
      </c>
      <c r="E51" s="70"/>
      <c r="F51" s="70"/>
      <c r="G51" s="70"/>
      <c r="H51" s="70"/>
      <c r="I51" s="70"/>
      <c r="J51" s="70"/>
      <c r="K51" s="70">
        <v>8.9233600000000006</v>
      </c>
      <c r="L51" s="70">
        <v>0</v>
      </c>
      <c r="M51" s="70">
        <v>2.7482099999999998</v>
      </c>
      <c r="N51" s="70">
        <v>0</v>
      </c>
      <c r="O51" s="70"/>
      <c r="P51" s="70"/>
      <c r="Q51" s="70">
        <v>17.527049999999999</v>
      </c>
      <c r="R51" s="70">
        <v>0</v>
      </c>
    </row>
    <row r="52" spans="1:18" x14ac:dyDescent="0.25">
      <c r="A52" s="58"/>
      <c r="B52" s="58" t="s">
        <v>906</v>
      </c>
      <c r="C52" s="58"/>
      <c r="D52" s="58"/>
      <c r="E52" s="58">
        <v>3.7759999999999998</v>
      </c>
      <c r="F52" s="58">
        <v>0</v>
      </c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>
        <v>3.7759999999999998</v>
      </c>
      <c r="R52" s="58">
        <v>0</v>
      </c>
    </row>
    <row r="53" spans="1:18" x14ac:dyDescent="0.25">
      <c r="A53" s="58"/>
      <c r="B53" s="70" t="s">
        <v>769</v>
      </c>
      <c r="C53" s="70">
        <v>0.15844</v>
      </c>
      <c r="D53" s="70">
        <v>0</v>
      </c>
      <c r="E53" s="70"/>
      <c r="F53" s="70"/>
      <c r="G53" s="70">
        <v>0.18784000000000001</v>
      </c>
      <c r="H53" s="70">
        <v>0</v>
      </c>
      <c r="I53" s="70"/>
      <c r="J53" s="70"/>
      <c r="K53" s="70"/>
      <c r="L53" s="70"/>
      <c r="M53" s="70">
        <v>0.57852000000000003</v>
      </c>
      <c r="N53" s="70">
        <v>0</v>
      </c>
      <c r="O53" s="70"/>
      <c r="P53" s="70"/>
      <c r="Q53" s="70">
        <v>0.92480000000000007</v>
      </c>
      <c r="R53" s="70">
        <v>0</v>
      </c>
    </row>
    <row r="54" spans="1:18" x14ac:dyDescent="0.25">
      <c r="A54" s="58"/>
      <c r="B54" s="70" t="s">
        <v>770</v>
      </c>
      <c r="C54" s="70"/>
      <c r="D54" s="70"/>
      <c r="E54" s="70">
        <v>0.8</v>
      </c>
      <c r="F54" s="70">
        <v>0</v>
      </c>
      <c r="G54" s="70">
        <v>0.56000000000000005</v>
      </c>
      <c r="H54" s="70">
        <v>0</v>
      </c>
      <c r="I54" s="70"/>
      <c r="J54" s="70"/>
      <c r="K54" s="70"/>
      <c r="L54" s="70"/>
      <c r="M54" s="70">
        <v>0.6</v>
      </c>
      <c r="N54" s="70">
        <v>0</v>
      </c>
      <c r="O54" s="70"/>
      <c r="P54" s="70"/>
      <c r="Q54" s="70">
        <v>1.96</v>
      </c>
      <c r="R54" s="70">
        <v>0</v>
      </c>
    </row>
    <row r="55" spans="1:18" x14ac:dyDescent="0.25">
      <c r="A55" s="58"/>
      <c r="B55" s="70" t="s">
        <v>907</v>
      </c>
      <c r="C55" s="70">
        <v>5.7141700000000002</v>
      </c>
      <c r="D55" s="70">
        <v>0</v>
      </c>
      <c r="E55" s="70"/>
      <c r="F55" s="70"/>
      <c r="G55" s="70"/>
      <c r="H55" s="70"/>
      <c r="I55" s="70">
        <v>6.0761599999999998</v>
      </c>
      <c r="J55" s="70">
        <v>0</v>
      </c>
      <c r="K55" s="70"/>
      <c r="L55" s="70"/>
      <c r="M55" s="70">
        <v>5.3525</v>
      </c>
      <c r="N55" s="70">
        <v>0</v>
      </c>
      <c r="O55" s="70"/>
      <c r="P55" s="70"/>
      <c r="Q55" s="70">
        <v>17.14283</v>
      </c>
      <c r="R55" s="70">
        <v>0</v>
      </c>
    </row>
    <row r="56" spans="1:18" x14ac:dyDescent="0.25">
      <c r="A56" s="58"/>
      <c r="B56" s="70" t="s">
        <v>908</v>
      </c>
      <c r="C56" s="70">
        <v>0.62</v>
      </c>
      <c r="D56" s="70">
        <v>0</v>
      </c>
      <c r="E56" s="70">
        <v>0.76437750000000004</v>
      </c>
      <c r="F56" s="70">
        <v>0</v>
      </c>
      <c r="G56" s="70">
        <v>0.10304000000000001</v>
      </c>
      <c r="H56" s="70">
        <v>0</v>
      </c>
      <c r="I56" s="70">
        <v>0.25</v>
      </c>
      <c r="J56" s="70">
        <v>0</v>
      </c>
      <c r="K56" s="70">
        <v>0.55000000000000004</v>
      </c>
      <c r="L56" s="70">
        <v>0</v>
      </c>
      <c r="M56" s="70">
        <v>0.55000000000000004</v>
      </c>
      <c r="N56" s="70">
        <v>0</v>
      </c>
      <c r="O56" s="70"/>
      <c r="P56" s="70"/>
      <c r="Q56" s="70">
        <v>2.8374174999999999</v>
      </c>
      <c r="R56" s="70">
        <v>0</v>
      </c>
    </row>
    <row r="57" spans="1:18" x14ac:dyDescent="0.25">
      <c r="A57" s="58"/>
      <c r="B57" s="70" t="s">
        <v>909</v>
      </c>
      <c r="C57" s="70">
        <v>1.9749999999999999</v>
      </c>
      <c r="D57" s="70">
        <v>0</v>
      </c>
      <c r="E57" s="70">
        <v>1.43</v>
      </c>
      <c r="F57" s="70">
        <v>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>
        <v>3.4049999999999998</v>
      </c>
      <c r="R57" s="70">
        <v>0</v>
      </c>
    </row>
    <row r="58" spans="1:18" x14ac:dyDescent="0.25">
      <c r="A58" s="58"/>
      <c r="B58" s="70" t="s">
        <v>910</v>
      </c>
      <c r="C58" s="70"/>
      <c r="D58" s="70"/>
      <c r="E58" s="70">
        <v>0.70150000000000001</v>
      </c>
      <c r="F58" s="70">
        <v>0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>
        <v>0.70150000000000001</v>
      </c>
      <c r="R58" s="70">
        <v>0</v>
      </c>
    </row>
    <row r="59" spans="1:18" x14ac:dyDescent="0.25">
      <c r="A59" s="58"/>
      <c r="B59" s="58" t="s">
        <v>800</v>
      </c>
      <c r="C59" s="58"/>
      <c r="D59" s="58"/>
      <c r="E59" s="58">
        <v>5.5574300000000001</v>
      </c>
      <c r="F59" s="58">
        <v>0</v>
      </c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>
        <v>5.5574300000000001</v>
      </c>
      <c r="R59" s="58">
        <v>0</v>
      </c>
    </row>
    <row r="60" spans="1:18" x14ac:dyDescent="0.25">
      <c r="A60" s="58"/>
      <c r="B60" s="58" t="s">
        <v>911</v>
      </c>
      <c r="C60" s="58">
        <v>1.23</v>
      </c>
      <c r="D60" s="58">
        <v>0</v>
      </c>
      <c r="E60" s="58">
        <v>1.73</v>
      </c>
      <c r="F60" s="58">
        <v>0</v>
      </c>
      <c r="G60" s="58">
        <v>3.23</v>
      </c>
      <c r="H60" s="58">
        <v>0</v>
      </c>
      <c r="I60" s="58">
        <v>1.23</v>
      </c>
      <c r="J60" s="58">
        <v>0</v>
      </c>
      <c r="K60" s="58"/>
      <c r="L60" s="58"/>
      <c r="M60" s="58"/>
      <c r="N60" s="58"/>
      <c r="O60" s="58"/>
      <c r="P60" s="58"/>
      <c r="Q60" s="58">
        <v>7.42</v>
      </c>
      <c r="R60" s="58">
        <v>0</v>
      </c>
    </row>
    <row r="61" spans="1:18" x14ac:dyDescent="0.25">
      <c r="A61" s="58"/>
      <c r="B61" s="118" t="s">
        <v>801</v>
      </c>
      <c r="C61" s="118">
        <v>10.358980000000001</v>
      </c>
      <c r="D61" s="118">
        <v>0</v>
      </c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>
        <v>10.358980000000001</v>
      </c>
      <c r="R61" s="118">
        <v>0</v>
      </c>
    </row>
    <row r="62" spans="1:18" x14ac:dyDescent="0.25">
      <c r="A62" s="58"/>
      <c r="B62" s="58" t="s">
        <v>779</v>
      </c>
      <c r="C62" s="58"/>
      <c r="D62" s="58"/>
      <c r="E62" s="58">
        <v>0.85</v>
      </c>
      <c r="F62" s="58">
        <v>0</v>
      </c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>
        <v>0.85</v>
      </c>
      <c r="R62" s="58">
        <v>0</v>
      </c>
    </row>
    <row r="63" spans="1:18" x14ac:dyDescent="0.25">
      <c r="A63" s="58"/>
      <c r="B63" s="58" t="s">
        <v>912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>
        <v>1</v>
      </c>
      <c r="N63" s="58">
        <v>0</v>
      </c>
      <c r="O63" s="58"/>
      <c r="P63" s="58"/>
      <c r="Q63" s="58">
        <v>1</v>
      </c>
      <c r="R63" s="58">
        <v>0</v>
      </c>
    </row>
    <row r="64" spans="1:18" x14ac:dyDescent="0.25">
      <c r="A64" s="58"/>
      <c r="B64" s="58" t="s">
        <v>913</v>
      </c>
      <c r="C64" s="58">
        <v>0.87170000000000003</v>
      </c>
      <c r="D64" s="58">
        <v>0</v>
      </c>
      <c r="E64" s="58">
        <v>0.17818000000000001</v>
      </c>
      <c r="F64" s="58">
        <v>0</v>
      </c>
      <c r="G64" s="58"/>
      <c r="H64" s="58"/>
      <c r="I64" s="58">
        <v>0.30974000000000002</v>
      </c>
      <c r="J64" s="58">
        <v>0</v>
      </c>
      <c r="K64" s="58"/>
      <c r="L64" s="58"/>
      <c r="M64" s="58"/>
      <c r="N64" s="58"/>
      <c r="O64" s="58"/>
      <c r="P64" s="58"/>
      <c r="Q64" s="58">
        <v>1.3596200000000001</v>
      </c>
      <c r="R64" s="58">
        <v>0</v>
      </c>
    </row>
    <row r="65" spans="1:18" x14ac:dyDescent="0.25">
      <c r="A65" s="58"/>
      <c r="B65" s="58" t="s">
        <v>914</v>
      </c>
      <c r="C65" s="58">
        <v>5.6052900000000001</v>
      </c>
      <c r="D65" s="58">
        <v>0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>
        <v>5.6052900000000001</v>
      </c>
      <c r="R65" s="58">
        <v>0</v>
      </c>
    </row>
    <row r="66" spans="1:18" x14ac:dyDescent="0.25">
      <c r="A66" s="58"/>
      <c r="B66" s="58" t="s">
        <v>915</v>
      </c>
      <c r="C66" s="58"/>
      <c r="D66" s="58"/>
      <c r="E66" s="58"/>
      <c r="F66" s="58"/>
      <c r="G66" s="58"/>
      <c r="H66" s="58"/>
      <c r="I66" s="58"/>
      <c r="J66" s="58"/>
      <c r="K66" s="58">
        <v>1</v>
      </c>
      <c r="L66" s="58">
        <v>0</v>
      </c>
      <c r="M66" s="58"/>
      <c r="N66" s="58"/>
      <c r="O66" s="58"/>
      <c r="P66" s="58"/>
      <c r="Q66" s="58">
        <v>1</v>
      </c>
      <c r="R66" s="58">
        <v>0</v>
      </c>
    </row>
    <row r="67" spans="1:18" x14ac:dyDescent="0.25">
      <c r="A67" s="61" t="s">
        <v>830</v>
      </c>
      <c r="B67" s="61"/>
      <c r="C67" s="61">
        <v>37.6511754</v>
      </c>
      <c r="D67" s="61">
        <v>0</v>
      </c>
      <c r="E67" s="61">
        <v>20.096544200000004</v>
      </c>
      <c r="F67" s="61">
        <v>0</v>
      </c>
      <c r="G67" s="61">
        <v>4.8508800000000001</v>
      </c>
      <c r="H67" s="61">
        <v>0</v>
      </c>
      <c r="I67" s="61">
        <v>61.027730400000003</v>
      </c>
      <c r="J67" s="61">
        <v>0</v>
      </c>
      <c r="K67" s="61">
        <v>30.110440000000001</v>
      </c>
      <c r="L67" s="61">
        <v>0</v>
      </c>
      <c r="M67" s="61">
        <v>36.005365400000002</v>
      </c>
      <c r="N67" s="61">
        <v>0</v>
      </c>
      <c r="O67" s="61"/>
      <c r="P67" s="61"/>
      <c r="Q67" s="61">
        <v>189.74213540000002</v>
      </c>
      <c r="R67" s="61">
        <v>0</v>
      </c>
    </row>
    <row r="68" spans="1:18" x14ac:dyDescent="0.25">
      <c r="A68" s="58" t="s">
        <v>497</v>
      </c>
      <c r="B68" s="118" t="s">
        <v>895</v>
      </c>
      <c r="C68" s="118">
        <v>0</v>
      </c>
      <c r="D68" s="118">
        <v>123</v>
      </c>
      <c r="E68" s="118">
        <v>0</v>
      </c>
      <c r="F68" s="118">
        <v>130</v>
      </c>
      <c r="G68" s="118">
        <v>0</v>
      </c>
      <c r="H68" s="118">
        <v>10</v>
      </c>
      <c r="I68" s="118">
        <v>0</v>
      </c>
      <c r="J68" s="118">
        <v>73</v>
      </c>
      <c r="K68" s="118">
        <v>0</v>
      </c>
      <c r="L68" s="118">
        <v>87.7</v>
      </c>
      <c r="M68" s="118">
        <v>0</v>
      </c>
      <c r="N68" s="118">
        <v>130</v>
      </c>
      <c r="O68" s="118"/>
      <c r="P68" s="118"/>
      <c r="Q68" s="118">
        <v>0</v>
      </c>
      <c r="R68" s="118">
        <v>553.70000000000005</v>
      </c>
    </row>
    <row r="69" spans="1:18" x14ac:dyDescent="0.25">
      <c r="A69" s="58"/>
      <c r="B69" s="58" t="s">
        <v>498</v>
      </c>
      <c r="C69" s="58"/>
      <c r="D69" s="58"/>
      <c r="E69" s="58"/>
      <c r="F69" s="58"/>
      <c r="G69" s="58"/>
      <c r="H69" s="58"/>
      <c r="I69" s="58">
        <v>0</v>
      </c>
      <c r="J69" s="58">
        <v>5</v>
      </c>
      <c r="K69" s="58">
        <v>0</v>
      </c>
      <c r="L69" s="58">
        <v>3.5</v>
      </c>
      <c r="M69" s="58"/>
      <c r="N69" s="58"/>
      <c r="O69" s="58"/>
      <c r="P69" s="58"/>
      <c r="Q69" s="58">
        <v>0</v>
      </c>
      <c r="R69" s="58">
        <v>8.5</v>
      </c>
    </row>
    <row r="70" spans="1:18" x14ac:dyDescent="0.25">
      <c r="A70" s="58"/>
      <c r="B70" s="58" t="s">
        <v>789</v>
      </c>
      <c r="C70" s="58"/>
      <c r="D70" s="58"/>
      <c r="E70" s="58"/>
      <c r="F70" s="58"/>
      <c r="G70" s="58">
        <v>0</v>
      </c>
      <c r="H70" s="58">
        <v>6.1379999999999996E-4</v>
      </c>
      <c r="I70" s="58"/>
      <c r="J70" s="58"/>
      <c r="K70" s="58">
        <v>0</v>
      </c>
      <c r="L70" s="58">
        <v>1.0000000000000001E-5</v>
      </c>
      <c r="M70" s="58"/>
      <c r="N70" s="58"/>
      <c r="O70" s="58"/>
      <c r="P70" s="58"/>
      <c r="Q70" s="58">
        <v>0</v>
      </c>
      <c r="R70" s="58">
        <v>6.2379999999999998E-4</v>
      </c>
    </row>
    <row r="71" spans="1:18" x14ac:dyDescent="0.25">
      <c r="A71" s="58"/>
      <c r="B71" s="118" t="s">
        <v>765</v>
      </c>
      <c r="C71" s="118"/>
      <c r="D71" s="118"/>
      <c r="E71" s="118"/>
      <c r="F71" s="118"/>
      <c r="G71" s="118"/>
      <c r="H71" s="118"/>
      <c r="I71" s="118">
        <v>0</v>
      </c>
      <c r="J71" s="118">
        <v>10</v>
      </c>
      <c r="K71" s="118"/>
      <c r="L71" s="118"/>
      <c r="M71" s="118"/>
      <c r="N71" s="118"/>
      <c r="O71" s="118"/>
      <c r="P71" s="118"/>
      <c r="Q71" s="118">
        <v>0</v>
      </c>
      <c r="R71" s="118">
        <v>10</v>
      </c>
    </row>
    <row r="72" spans="1:18" x14ac:dyDescent="0.25">
      <c r="A72" s="58"/>
      <c r="B72" s="58" t="s">
        <v>916</v>
      </c>
      <c r="C72" s="58"/>
      <c r="D72" s="58"/>
      <c r="E72" s="58"/>
      <c r="F72" s="58"/>
      <c r="G72" s="58"/>
      <c r="H72" s="58"/>
      <c r="I72" s="58">
        <v>0</v>
      </c>
      <c r="J72" s="58">
        <v>29</v>
      </c>
      <c r="K72" s="58">
        <v>0</v>
      </c>
      <c r="L72" s="58">
        <v>10</v>
      </c>
      <c r="M72" s="58">
        <v>0</v>
      </c>
      <c r="N72" s="58">
        <v>23</v>
      </c>
      <c r="O72" s="58"/>
      <c r="P72" s="58"/>
      <c r="Q72" s="58">
        <v>0</v>
      </c>
      <c r="R72" s="58">
        <v>62</v>
      </c>
    </row>
    <row r="73" spans="1:18" x14ac:dyDescent="0.25">
      <c r="A73" s="58"/>
      <c r="B73" s="58" t="s">
        <v>917</v>
      </c>
      <c r="C73" s="58">
        <v>0</v>
      </c>
      <c r="D73" s="58">
        <v>13.792669999999999</v>
      </c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>
        <v>0</v>
      </c>
      <c r="R73" s="58">
        <v>13.792669999999999</v>
      </c>
    </row>
    <row r="74" spans="1:18" x14ac:dyDescent="0.25">
      <c r="A74" s="58"/>
      <c r="B74" s="58" t="s">
        <v>918</v>
      </c>
      <c r="C74" s="58">
        <v>0</v>
      </c>
      <c r="D74" s="58">
        <v>13.75</v>
      </c>
      <c r="E74" s="58">
        <v>0</v>
      </c>
      <c r="F74" s="58">
        <v>10</v>
      </c>
      <c r="G74" s="58">
        <v>0</v>
      </c>
      <c r="H74" s="58">
        <v>29.5</v>
      </c>
      <c r="I74" s="58">
        <v>0</v>
      </c>
      <c r="J74" s="58">
        <v>26.5</v>
      </c>
      <c r="K74" s="58"/>
      <c r="L74" s="58"/>
      <c r="M74" s="58"/>
      <c r="N74" s="58"/>
      <c r="O74" s="58"/>
      <c r="P74" s="58"/>
      <c r="Q74" s="58">
        <v>0</v>
      </c>
      <c r="R74" s="58">
        <v>79.75</v>
      </c>
    </row>
    <row r="75" spans="1:18" x14ac:dyDescent="0.25">
      <c r="A75" s="58"/>
      <c r="B75" s="118" t="s">
        <v>801</v>
      </c>
      <c r="C75" s="118"/>
      <c r="D75" s="118"/>
      <c r="E75" s="118"/>
      <c r="F75" s="118"/>
      <c r="G75" s="118"/>
      <c r="H75" s="118"/>
      <c r="I75" s="118">
        <v>0</v>
      </c>
      <c r="J75" s="118">
        <v>6.1317399999999997</v>
      </c>
      <c r="K75" s="118"/>
      <c r="L75" s="118"/>
      <c r="M75" s="118"/>
      <c r="N75" s="118"/>
      <c r="O75" s="118"/>
      <c r="P75" s="118"/>
      <c r="Q75" s="118">
        <v>0</v>
      </c>
      <c r="R75" s="118">
        <v>6.1317399999999997</v>
      </c>
    </row>
    <row r="76" spans="1:18" x14ac:dyDescent="0.25">
      <c r="A76" s="58"/>
      <c r="B76" s="58" t="s">
        <v>919</v>
      </c>
      <c r="C76" s="58"/>
      <c r="D76" s="58"/>
      <c r="E76" s="58">
        <v>0</v>
      </c>
      <c r="F76" s="58">
        <v>0.73594000000000004</v>
      </c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>
        <v>0</v>
      </c>
      <c r="R76" s="58">
        <v>0.73594000000000004</v>
      </c>
    </row>
    <row r="77" spans="1:18" x14ac:dyDescent="0.25">
      <c r="A77" s="61" t="s">
        <v>831</v>
      </c>
      <c r="B77" s="61"/>
      <c r="C77" s="61">
        <v>0</v>
      </c>
      <c r="D77" s="61">
        <v>150.54266999999999</v>
      </c>
      <c r="E77" s="61">
        <v>0</v>
      </c>
      <c r="F77" s="61">
        <v>140.73594</v>
      </c>
      <c r="G77" s="61">
        <v>0</v>
      </c>
      <c r="H77" s="61">
        <v>39.500613799999996</v>
      </c>
      <c r="I77" s="61">
        <v>0</v>
      </c>
      <c r="J77" s="61">
        <v>149.63174000000001</v>
      </c>
      <c r="K77" s="61">
        <v>0</v>
      </c>
      <c r="L77" s="61">
        <v>101.20001000000001</v>
      </c>
      <c r="M77" s="61">
        <v>0</v>
      </c>
      <c r="N77" s="61">
        <v>153</v>
      </c>
      <c r="O77" s="61"/>
      <c r="P77" s="61"/>
      <c r="Q77" s="61">
        <v>0</v>
      </c>
      <c r="R77" s="61">
        <v>734.61097380000012</v>
      </c>
    </row>
    <row r="78" spans="1:18" x14ac:dyDescent="0.25">
      <c r="A78" s="58" t="s">
        <v>813</v>
      </c>
      <c r="B78" s="58" t="s">
        <v>813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</row>
    <row r="79" spans="1:18" x14ac:dyDescent="0.25">
      <c r="A79" s="61" t="s">
        <v>832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</row>
    <row r="80" spans="1:18" x14ac:dyDescent="0.25">
      <c r="A80" s="58" t="s">
        <v>814</v>
      </c>
      <c r="B80" s="58"/>
      <c r="C80" s="58">
        <v>458.3516138</v>
      </c>
      <c r="D80" s="58">
        <v>457.56789999999995</v>
      </c>
      <c r="E80" s="58">
        <v>210.63884340000001</v>
      </c>
      <c r="F80" s="58">
        <v>214.23074</v>
      </c>
      <c r="G80" s="58">
        <v>65.580105400000008</v>
      </c>
      <c r="H80" s="58">
        <v>82.336173800000012</v>
      </c>
      <c r="I80" s="58">
        <v>226.9169516</v>
      </c>
      <c r="J80" s="58">
        <v>206.77540000000002</v>
      </c>
      <c r="K80" s="58">
        <v>125.71190000000001</v>
      </c>
      <c r="L80" s="58">
        <v>125.60001</v>
      </c>
      <c r="M80" s="58">
        <v>229.7517454</v>
      </c>
      <c r="N80" s="58">
        <v>233.25767000000002</v>
      </c>
      <c r="O80" s="58"/>
      <c r="P80" s="58"/>
      <c r="Q80" s="58">
        <v>1316.9511596</v>
      </c>
      <c r="R80" s="58">
        <v>1319.7678938000004</v>
      </c>
    </row>
  </sheetData>
  <mergeCells count="2">
    <mergeCell ref="B1:D3"/>
    <mergeCell ref="A4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7"/>
  <sheetViews>
    <sheetView workbookViewId="0">
      <selection activeCell="H25" sqref="H25"/>
    </sheetView>
  </sheetViews>
  <sheetFormatPr defaultRowHeight="15" x14ac:dyDescent="0.25"/>
  <cols>
    <col min="1" max="1" width="8" customWidth="1"/>
    <col min="2" max="3" width="10" customWidth="1"/>
    <col min="4" max="5" width="12" customWidth="1"/>
    <col min="6" max="6" width="35" customWidth="1"/>
    <col min="7" max="7" width="50" customWidth="1"/>
    <col min="8" max="9" width="15" customWidth="1"/>
    <col min="10" max="10" width="18" customWidth="1"/>
  </cols>
  <sheetData>
    <row r="1" spans="1:10" ht="20.100000000000001" customHeight="1" x14ac:dyDescent="0.25">
      <c r="A1" s="17" t="s">
        <v>79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84</v>
      </c>
      <c r="G1" s="18" t="s">
        <v>85</v>
      </c>
      <c r="H1" s="19" t="s">
        <v>86</v>
      </c>
      <c r="I1" s="19" t="s">
        <v>87</v>
      </c>
      <c r="J1" s="19" t="s">
        <v>88</v>
      </c>
    </row>
    <row r="2" spans="1:10" x14ac:dyDescent="0.25">
      <c r="A2" s="20">
        <v>1</v>
      </c>
      <c r="B2" s="21">
        <v>45870</v>
      </c>
      <c r="C2" s="20" t="s">
        <v>89</v>
      </c>
      <c r="D2" s="20" t="s">
        <v>91</v>
      </c>
      <c r="E2" s="20"/>
      <c r="F2" s="22" t="s">
        <v>884</v>
      </c>
      <c r="G2" s="23" t="s">
        <v>920</v>
      </c>
      <c r="H2" s="57">
        <v>0</v>
      </c>
      <c r="I2" s="57">
        <v>2.95</v>
      </c>
      <c r="J2" s="119">
        <v>-39962136.539999999</v>
      </c>
    </row>
    <row r="3" spans="1:10" x14ac:dyDescent="0.25">
      <c r="A3" s="20">
        <v>2</v>
      </c>
      <c r="B3" s="21">
        <v>45870</v>
      </c>
      <c r="C3" s="20" t="s">
        <v>89</v>
      </c>
      <c r="D3" s="20" t="s">
        <v>788</v>
      </c>
      <c r="E3" s="20"/>
      <c r="F3" s="22" t="s">
        <v>870</v>
      </c>
      <c r="G3" s="23" t="s">
        <v>921</v>
      </c>
      <c r="H3" s="57">
        <v>0</v>
      </c>
      <c r="I3" s="57">
        <v>19.1098</v>
      </c>
      <c r="J3" s="119">
        <v>-38051156.539999999</v>
      </c>
    </row>
    <row r="4" spans="1:10" x14ac:dyDescent="0.25">
      <c r="A4" s="20">
        <v>3</v>
      </c>
      <c r="B4" s="21">
        <v>45870</v>
      </c>
      <c r="C4" s="20" t="s">
        <v>89</v>
      </c>
      <c r="D4" s="20" t="s">
        <v>788</v>
      </c>
      <c r="E4" s="20"/>
      <c r="F4" s="22" t="s">
        <v>870</v>
      </c>
      <c r="G4" s="23" t="s">
        <v>922</v>
      </c>
      <c r="H4" s="57">
        <v>0.30047499999999999</v>
      </c>
      <c r="I4" s="57">
        <v>0</v>
      </c>
      <c r="J4" s="119">
        <v>-38081204.039999999</v>
      </c>
    </row>
    <row r="5" spans="1:10" x14ac:dyDescent="0.25">
      <c r="A5" s="20">
        <v>4</v>
      </c>
      <c r="B5" s="21">
        <v>45870</v>
      </c>
      <c r="C5" s="20" t="s">
        <v>89</v>
      </c>
      <c r="D5" s="20" t="s">
        <v>888</v>
      </c>
      <c r="E5" s="20"/>
      <c r="F5" s="22" t="s">
        <v>298</v>
      </c>
      <c r="G5" s="23" t="s">
        <v>299</v>
      </c>
      <c r="H5" s="57">
        <v>8.8500000000000002E-3</v>
      </c>
      <c r="I5" s="57">
        <v>0</v>
      </c>
      <c r="J5" s="119">
        <v>-38082089.039999999</v>
      </c>
    </row>
    <row r="6" spans="1:10" ht="25.5" x14ac:dyDescent="0.25">
      <c r="A6" s="20">
        <v>5</v>
      </c>
      <c r="B6" s="21">
        <v>45870</v>
      </c>
      <c r="C6" s="20" t="s">
        <v>89</v>
      </c>
      <c r="D6" s="20" t="s">
        <v>759</v>
      </c>
      <c r="E6" s="20"/>
      <c r="F6" s="22" t="s">
        <v>913</v>
      </c>
      <c r="G6" s="23" t="s">
        <v>923</v>
      </c>
      <c r="H6" s="57">
        <v>0.53942000000000001</v>
      </c>
      <c r="I6" s="57">
        <v>0</v>
      </c>
      <c r="J6" s="119">
        <v>-38136031.039999999</v>
      </c>
    </row>
    <row r="7" spans="1:10" x14ac:dyDescent="0.25">
      <c r="A7" s="20">
        <v>6</v>
      </c>
      <c r="B7" s="21">
        <v>45870</v>
      </c>
      <c r="C7" s="20" t="s">
        <v>89</v>
      </c>
      <c r="D7" s="20" t="s">
        <v>91</v>
      </c>
      <c r="E7" s="20"/>
      <c r="F7" s="22" t="s">
        <v>884</v>
      </c>
      <c r="G7" s="23" t="s">
        <v>924</v>
      </c>
      <c r="H7" s="57">
        <v>18</v>
      </c>
      <c r="I7" s="57">
        <v>0</v>
      </c>
      <c r="J7" s="119">
        <v>-39936031.039999999</v>
      </c>
    </row>
    <row r="8" spans="1:10" x14ac:dyDescent="0.25">
      <c r="A8" s="20">
        <v>7</v>
      </c>
      <c r="B8" s="21">
        <v>45871</v>
      </c>
      <c r="C8" s="20" t="s">
        <v>89</v>
      </c>
      <c r="D8" s="20" t="s">
        <v>91</v>
      </c>
      <c r="E8" s="20"/>
      <c r="F8" s="22" t="s">
        <v>884</v>
      </c>
      <c r="G8" s="23" t="s">
        <v>925</v>
      </c>
      <c r="H8" s="57">
        <v>0.1</v>
      </c>
      <c r="I8" s="57">
        <v>0</v>
      </c>
      <c r="J8" s="119">
        <v>-39946031.039999999</v>
      </c>
    </row>
    <row r="9" spans="1:10" x14ac:dyDescent="0.25">
      <c r="A9" s="20">
        <v>8</v>
      </c>
      <c r="B9" s="21">
        <v>45871</v>
      </c>
      <c r="C9" s="20" t="s">
        <v>89</v>
      </c>
      <c r="D9" s="20" t="s">
        <v>497</v>
      </c>
      <c r="E9" s="20"/>
      <c r="F9" s="22" t="s">
        <v>895</v>
      </c>
      <c r="G9" s="23" t="s">
        <v>926</v>
      </c>
      <c r="H9" s="57">
        <v>0</v>
      </c>
      <c r="I9" s="57">
        <v>50</v>
      </c>
      <c r="J9" s="119">
        <v>-34946031.039999999</v>
      </c>
    </row>
    <row r="10" spans="1:10" ht="25.5" x14ac:dyDescent="0.25">
      <c r="A10" s="20">
        <v>9</v>
      </c>
      <c r="B10" s="21">
        <v>45871</v>
      </c>
      <c r="C10" s="20" t="s">
        <v>89</v>
      </c>
      <c r="D10" s="20" t="s">
        <v>759</v>
      </c>
      <c r="E10" s="20"/>
      <c r="F10" s="22" t="s">
        <v>904</v>
      </c>
      <c r="G10" s="23" t="s">
        <v>927</v>
      </c>
      <c r="H10" s="57">
        <v>0.12</v>
      </c>
      <c r="I10" s="57">
        <v>0</v>
      </c>
      <c r="J10" s="119">
        <v>-34958031.039999999</v>
      </c>
    </row>
    <row r="11" spans="1:10" x14ac:dyDescent="0.25">
      <c r="A11" s="20">
        <v>10</v>
      </c>
      <c r="B11" s="21">
        <v>45873</v>
      </c>
      <c r="C11" s="20" t="s">
        <v>89</v>
      </c>
      <c r="D11" s="20" t="s">
        <v>91</v>
      </c>
      <c r="E11" s="20"/>
      <c r="F11" s="22" t="s">
        <v>884</v>
      </c>
      <c r="G11" s="23" t="s">
        <v>928</v>
      </c>
      <c r="H11" s="57">
        <v>42</v>
      </c>
      <c r="I11" s="57">
        <v>0</v>
      </c>
      <c r="J11" s="119">
        <v>-39158031.039999999</v>
      </c>
    </row>
    <row r="12" spans="1:10" x14ac:dyDescent="0.25">
      <c r="A12" s="20">
        <v>11</v>
      </c>
      <c r="B12" s="21">
        <v>45873</v>
      </c>
      <c r="C12" s="20" t="s">
        <v>89</v>
      </c>
      <c r="D12" s="20" t="s">
        <v>497</v>
      </c>
      <c r="E12" s="20"/>
      <c r="F12" s="22" t="s">
        <v>895</v>
      </c>
      <c r="G12" s="23" t="s">
        <v>929</v>
      </c>
      <c r="H12" s="57">
        <v>0</v>
      </c>
      <c r="I12" s="57">
        <v>60</v>
      </c>
      <c r="J12" s="119">
        <v>-33158031.039999999</v>
      </c>
    </row>
    <row r="13" spans="1:10" ht="25.5" x14ac:dyDescent="0.25">
      <c r="A13" s="20">
        <v>12</v>
      </c>
      <c r="B13" s="21">
        <v>45873</v>
      </c>
      <c r="C13" s="20" t="s">
        <v>89</v>
      </c>
      <c r="D13" s="20" t="s">
        <v>759</v>
      </c>
      <c r="E13" s="20"/>
      <c r="F13" s="22" t="s">
        <v>909</v>
      </c>
      <c r="G13" s="23" t="s">
        <v>930</v>
      </c>
      <c r="H13" s="57">
        <v>0.13500000000000001</v>
      </c>
      <c r="I13" s="57">
        <v>0</v>
      </c>
      <c r="J13" s="119">
        <v>-33171531.039999999</v>
      </c>
    </row>
    <row r="14" spans="1:10" ht="25.5" x14ac:dyDescent="0.25">
      <c r="A14" s="20">
        <v>13</v>
      </c>
      <c r="B14" s="21">
        <v>45873</v>
      </c>
      <c r="C14" s="20" t="s">
        <v>89</v>
      </c>
      <c r="D14" s="23" t="s">
        <v>885</v>
      </c>
      <c r="E14" s="20"/>
      <c r="F14" s="22" t="s">
        <v>886</v>
      </c>
      <c r="G14" s="23" t="s">
        <v>931</v>
      </c>
      <c r="H14" s="57">
        <v>10</v>
      </c>
      <c r="I14" s="57">
        <v>0</v>
      </c>
      <c r="J14" s="119">
        <v>-34171531.039999999</v>
      </c>
    </row>
    <row r="15" spans="1:10" ht="25.5" x14ac:dyDescent="0.25">
      <c r="A15" s="20">
        <v>14</v>
      </c>
      <c r="B15" s="21">
        <v>45873</v>
      </c>
      <c r="C15" s="20" t="s">
        <v>89</v>
      </c>
      <c r="D15" s="20" t="s">
        <v>759</v>
      </c>
      <c r="E15" s="20"/>
      <c r="F15" s="22" t="s">
        <v>899</v>
      </c>
      <c r="G15" s="23" t="s">
        <v>932</v>
      </c>
      <c r="H15" s="57">
        <v>2</v>
      </c>
      <c r="I15" s="57">
        <v>0</v>
      </c>
      <c r="J15" s="119">
        <v>-34371531.039999999</v>
      </c>
    </row>
    <row r="16" spans="1:10" x14ac:dyDescent="0.25">
      <c r="A16" s="20">
        <v>15</v>
      </c>
      <c r="B16" s="21">
        <v>45873</v>
      </c>
      <c r="C16" s="20" t="s">
        <v>89</v>
      </c>
      <c r="D16" s="20" t="s">
        <v>91</v>
      </c>
      <c r="E16" s="20"/>
      <c r="F16" s="22" t="s">
        <v>884</v>
      </c>
      <c r="G16" s="23" t="s">
        <v>933</v>
      </c>
      <c r="H16" s="57">
        <v>15</v>
      </c>
      <c r="I16" s="57">
        <v>0</v>
      </c>
      <c r="J16" s="119">
        <v>-35871531.039999999</v>
      </c>
    </row>
    <row r="17" spans="1:12" ht="25.5" x14ac:dyDescent="0.25">
      <c r="A17" s="20">
        <v>16</v>
      </c>
      <c r="B17" s="21">
        <v>45873</v>
      </c>
      <c r="C17" s="20" t="s">
        <v>89</v>
      </c>
      <c r="D17" s="20" t="s">
        <v>759</v>
      </c>
      <c r="E17" s="20"/>
      <c r="F17" s="22" t="s">
        <v>914</v>
      </c>
      <c r="G17" s="23" t="s">
        <v>934</v>
      </c>
      <c r="H17" s="57">
        <v>5.6052900000000001</v>
      </c>
      <c r="I17" s="57">
        <v>0</v>
      </c>
      <c r="J17" s="119">
        <v>-36432060.039999999</v>
      </c>
    </row>
    <row r="18" spans="1:12" x14ac:dyDescent="0.25">
      <c r="A18" s="20">
        <v>17</v>
      </c>
      <c r="B18" s="21">
        <v>45874</v>
      </c>
      <c r="C18" s="20" t="s">
        <v>89</v>
      </c>
      <c r="D18" s="20" t="s">
        <v>759</v>
      </c>
      <c r="E18" s="20"/>
      <c r="F18" s="22" t="s">
        <v>901</v>
      </c>
      <c r="G18" s="23" t="s">
        <v>935</v>
      </c>
      <c r="H18" s="57">
        <v>0.2</v>
      </c>
      <c r="I18" s="57">
        <v>0</v>
      </c>
      <c r="J18" s="119">
        <v>-36452060.039999999</v>
      </c>
    </row>
    <row r="19" spans="1:12" ht="25.5" x14ac:dyDescent="0.25">
      <c r="A19" s="20">
        <v>18</v>
      </c>
      <c r="B19" s="21">
        <v>45874</v>
      </c>
      <c r="C19" s="20" t="s">
        <v>89</v>
      </c>
      <c r="D19" s="20" t="s">
        <v>888</v>
      </c>
      <c r="E19" s="20"/>
      <c r="F19" s="22" t="s">
        <v>891</v>
      </c>
      <c r="G19" s="23" t="s">
        <v>936</v>
      </c>
      <c r="H19" s="57">
        <v>0.22</v>
      </c>
      <c r="I19" s="57">
        <v>0</v>
      </c>
      <c r="J19" s="119">
        <v>-36474060.039999999</v>
      </c>
    </row>
    <row r="20" spans="1:12" x14ac:dyDescent="0.25">
      <c r="A20" s="20">
        <v>19</v>
      </c>
      <c r="B20" s="21">
        <v>45874</v>
      </c>
      <c r="C20" s="20" t="s">
        <v>89</v>
      </c>
      <c r="D20" s="20" t="s">
        <v>759</v>
      </c>
      <c r="E20" s="20"/>
      <c r="F20" s="22" t="s">
        <v>896</v>
      </c>
      <c r="G20" s="23" t="s">
        <v>937</v>
      </c>
      <c r="H20" s="57">
        <v>0.45</v>
      </c>
      <c r="I20" s="57">
        <v>0</v>
      </c>
      <c r="J20" s="119">
        <v>-36519060.039999999</v>
      </c>
      <c r="L20">
        <v>100000</v>
      </c>
    </row>
    <row r="21" spans="1:12" ht="25.5" x14ac:dyDescent="0.25">
      <c r="A21" s="20">
        <v>20</v>
      </c>
      <c r="B21" s="21">
        <v>45874</v>
      </c>
      <c r="C21" s="20" t="s">
        <v>89</v>
      </c>
      <c r="D21" s="23" t="s">
        <v>885</v>
      </c>
      <c r="E21" s="20"/>
      <c r="F21" s="22" t="s">
        <v>886</v>
      </c>
      <c r="G21" s="23" t="s">
        <v>938</v>
      </c>
      <c r="H21" s="57">
        <v>25</v>
      </c>
      <c r="I21" s="57">
        <v>0</v>
      </c>
      <c r="J21" s="119">
        <v>-39019060.039999999</v>
      </c>
    </row>
    <row r="22" spans="1:12" ht="25.5" x14ac:dyDescent="0.25">
      <c r="A22" s="20">
        <v>21</v>
      </c>
      <c r="B22" s="21">
        <v>45874</v>
      </c>
      <c r="C22" s="20" t="s">
        <v>89</v>
      </c>
      <c r="D22" s="20" t="s">
        <v>759</v>
      </c>
      <c r="E22" s="20"/>
      <c r="F22" s="22" t="s">
        <v>789</v>
      </c>
      <c r="G22" s="23" t="s">
        <v>939</v>
      </c>
      <c r="H22" s="57">
        <v>0.3</v>
      </c>
      <c r="I22" s="57">
        <v>0</v>
      </c>
      <c r="J22" s="119">
        <v>-39049060.039999999</v>
      </c>
    </row>
    <row r="23" spans="1:12" ht="25.5" x14ac:dyDescent="0.25">
      <c r="A23" s="20">
        <v>22</v>
      </c>
      <c r="B23" s="21">
        <v>45874</v>
      </c>
      <c r="C23" s="20" t="s">
        <v>89</v>
      </c>
      <c r="D23" s="20" t="s">
        <v>759</v>
      </c>
      <c r="E23" s="20"/>
      <c r="F23" s="22" t="s">
        <v>902</v>
      </c>
      <c r="G23" s="23" t="s">
        <v>940</v>
      </c>
      <c r="H23" s="57">
        <v>1.15534</v>
      </c>
      <c r="I23" s="57">
        <v>0</v>
      </c>
      <c r="J23" s="119">
        <v>-39164594.039999999</v>
      </c>
    </row>
    <row r="24" spans="1:12" x14ac:dyDescent="0.25">
      <c r="A24" s="20">
        <v>23</v>
      </c>
      <c r="B24" s="21">
        <v>45874</v>
      </c>
      <c r="C24" s="20" t="s">
        <v>89</v>
      </c>
      <c r="D24" s="20" t="s">
        <v>888</v>
      </c>
      <c r="E24" s="20"/>
      <c r="F24" s="22" t="s">
        <v>889</v>
      </c>
      <c r="G24" s="23" t="s">
        <v>941</v>
      </c>
      <c r="H24" s="57">
        <v>0.5518054</v>
      </c>
      <c r="I24" s="57">
        <v>0</v>
      </c>
      <c r="J24" s="119">
        <v>-39219774.579999998</v>
      </c>
    </row>
    <row r="25" spans="1:12" x14ac:dyDescent="0.25">
      <c r="A25" s="20">
        <v>24</v>
      </c>
      <c r="B25" s="21">
        <v>45874</v>
      </c>
      <c r="C25" s="20" t="s">
        <v>89</v>
      </c>
      <c r="D25" s="20" t="s">
        <v>759</v>
      </c>
      <c r="E25" s="20"/>
      <c r="F25" s="22" t="s">
        <v>789</v>
      </c>
      <c r="G25" s="23" t="s">
        <v>942</v>
      </c>
      <c r="H25" s="57">
        <v>3.67754E-2</v>
      </c>
      <c r="I25" s="57">
        <v>0</v>
      </c>
      <c r="J25" s="119">
        <v>-39223452.119999997</v>
      </c>
    </row>
    <row r="26" spans="1:12" x14ac:dyDescent="0.25">
      <c r="A26" s="20">
        <v>25</v>
      </c>
      <c r="B26" s="21">
        <v>45874</v>
      </c>
      <c r="C26" s="20" t="s">
        <v>89</v>
      </c>
      <c r="D26" s="20" t="s">
        <v>91</v>
      </c>
      <c r="E26" s="20"/>
      <c r="F26" s="22" t="s">
        <v>884</v>
      </c>
      <c r="G26" s="23" t="s">
        <v>920</v>
      </c>
      <c r="H26" s="57">
        <v>0</v>
      </c>
      <c r="I26" s="57">
        <v>18</v>
      </c>
      <c r="J26" s="119">
        <v>-37423452.119999997</v>
      </c>
    </row>
    <row r="27" spans="1:12" ht="25.5" x14ac:dyDescent="0.25">
      <c r="A27" s="20">
        <v>26</v>
      </c>
      <c r="B27" s="21">
        <v>45874</v>
      </c>
      <c r="C27" s="20" t="s">
        <v>89</v>
      </c>
      <c r="D27" s="23" t="s">
        <v>885</v>
      </c>
      <c r="E27" s="20"/>
      <c r="F27" s="22" t="s">
        <v>886</v>
      </c>
      <c r="G27" s="23" t="s">
        <v>943</v>
      </c>
      <c r="H27" s="57">
        <v>25</v>
      </c>
      <c r="I27" s="57">
        <v>0</v>
      </c>
      <c r="J27" s="119">
        <v>-39923452.119999997</v>
      </c>
    </row>
    <row r="28" spans="1:12" ht="25.5" x14ac:dyDescent="0.25">
      <c r="A28" s="20">
        <v>27</v>
      </c>
      <c r="B28" s="21">
        <v>45875</v>
      </c>
      <c r="C28" s="20" t="s">
        <v>89</v>
      </c>
      <c r="D28" s="20" t="s">
        <v>91</v>
      </c>
      <c r="E28" s="20"/>
      <c r="F28" s="22" t="s">
        <v>884</v>
      </c>
      <c r="G28" s="23" t="s">
        <v>944</v>
      </c>
      <c r="H28" s="57">
        <v>0</v>
      </c>
      <c r="I28" s="57">
        <v>25</v>
      </c>
      <c r="J28" s="119">
        <v>-37423452.119999997</v>
      </c>
    </row>
    <row r="29" spans="1:12" ht="25.5" x14ac:dyDescent="0.25">
      <c r="A29" s="20">
        <v>28</v>
      </c>
      <c r="B29" s="21">
        <v>45875</v>
      </c>
      <c r="C29" s="20" t="s">
        <v>89</v>
      </c>
      <c r="D29" s="23" t="s">
        <v>885</v>
      </c>
      <c r="E29" s="20"/>
      <c r="F29" s="22" t="s">
        <v>886</v>
      </c>
      <c r="G29" s="23" t="s">
        <v>931</v>
      </c>
      <c r="H29" s="57">
        <v>25</v>
      </c>
      <c r="I29" s="57">
        <v>0</v>
      </c>
      <c r="J29" s="119">
        <v>-39923452.119999997</v>
      </c>
    </row>
    <row r="30" spans="1:12" ht="25.5" x14ac:dyDescent="0.25">
      <c r="A30" s="20">
        <v>29</v>
      </c>
      <c r="B30" s="21">
        <v>45875</v>
      </c>
      <c r="C30" s="20" t="s">
        <v>89</v>
      </c>
      <c r="D30" s="20" t="s">
        <v>91</v>
      </c>
      <c r="E30" s="20"/>
      <c r="F30" s="22" t="s">
        <v>884</v>
      </c>
      <c r="G30" s="23" t="s">
        <v>944</v>
      </c>
      <c r="H30" s="57">
        <v>0</v>
      </c>
      <c r="I30" s="57">
        <v>3</v>
      </c>
      <c r="J30" s="119">
        <v>-39623452.119999997</v>
      </c>
    </row>
    <row r="31" spans="1:12" x14ac:dyDescent="0.25">
      <c r="A31" s="20">
        <v>30</v>
      </c>
      <c r="B31" s="21">
        <v>45875</v>
      </c>
      <c r="C31" s="20" t="s">
        <v>89</v>
      </c>
      <c r="D31" s="20" t="s">
        <v>888</v>
      </c>
      <c r="E31" s="20"/>
      <c r="F31" s="22" t="s">
        <v>125</v>
      </c>
      <c r="G31" s="23" t="s">
        <v>945</v>
      </c>
      <c r="H31" s="57">
        <v>1.3251500000000001</v>
      </c>
      <c r="I31" s="57">
        <v>0</v>
      </c>
      <c r="J31" s="119">
        <v>-39755967.119999997</v>
      </c>
    </row>
    <row r="32" spans="1:12" x14ac:dyDescent="0.25">
      <c r="A32" s="20">
        <v>31</v>
      </c>
      <c r="B32" s="21">
        <v>45875</v>
      </c>
      <c r="C32" s="20" t="s">
        <v>89</v>
      </c>
      <c r="D32" s="20" t="s">
        <v>888</v>
      </c>
      <c r="E32" s="20"/>
      <c r="F32" s="22" t="s">
        <v>125</v>
      </c>
      <c r="G32" s="23" t="s">
        <v>946</v>
      </c>
      <c r="H32" s="57">
        <v>9.5200000000000007E-3</v>
      </c>
      <c r="I32" s="57">
        <v>0</v>
      </c>
      <c r="J32" s="119">
        <v>-39756919.119999997</v>
      </c>
    </row>
    <row r="33" spans="1:10" ht="25.5" x14ac:dyDescent="0.25">
      <c r="A33" s="20">
        <v>32</v>
      </c>
      <c r="B33" s="21">
        <v>45876</v>
      </c>
      <c r="C33" s="20" t="s">
        <v>89</v>
      </c>
      <c r="D33" s="23" t="s">
        <v>885</v>
      </c>
      <c r="E33" s="20"/>
      <c r="F33" s="22" t="s">
        <v>886</v>
      </c>
      <c r="G33" s="23" t="s">
        <v>947</v>
      </c>
      <c r="H33" s="57">
        <v>1.5</v>
      </c>
      <c r="I33" s="57">
        <v>0</v>
      </c>
      <c r="J33" s="119">
        <v>-39906919.119999997</v>
      </c>
    </row>
    <row r="34" spans="1:10" x14ac:dyDescent="0.25">
      <c r="A34" s="20">
        <v>33</v>
      </c>
      <c r="B34" s="21">
        <v>45876</v>
      </c>
      <c r="C34" s="20" t="s">
        <v>89</v>
      </c>
      <c r="D34" s="20" t="s">
        <v>759</v>
      </c>
      <c r="E34" s="20"/>
      <c r="F34" s="22" t="s">
        <v>909</v>
      </c>
      <c r="G34" s="23" t="s">
        <v>948</v>
      </c>
      <c r="H34" s="57">
        <v>0.71</v>
      </c>
      <c r="I34" s="57">
        <v>0</v>
      </c>
      <c r="J34" s="119">
        <v>-39977919.119999997</v>
      </c>
    </row>
    <row r="35" spans="1:10" x14ac:dyDescent="0.25">
      <c r="A35" s="20">
        <v>34</v>
      </c>
      <c r="B35" s="21">
        <v>45876</v>
      </c>
      <c r="C35" s="20" t="s">
        <v>89</v>
      </c>
      <c r="D35" s="20" t="s">
        <v>91</v>
      </c>
      <c r="E35" s="20"/>
      <c r="F35" s="22" t="s">
        <v>884</v>
      </c>
      <c r="G35" s="23" t="s">
        <v>920</v>
      </c>
      <c r="H35" s="57">
        <v>0</v>
      </c>
      <c r="I35" s="57">
        <v>4</v>
      </c>
      <c r="J35" s="119">
        <v>-39577919.119999997</v>
      </c>
    </row>
    <row r="36" spans="1:10" ht="25.5" x14ac:dyDescent="0.25">
      <c r="A36" s="20">
        <v>35</v>
      </c>
      <c r="B36" s="21">
        <v>45876</v>
      </c>
      <c r="C36" s="20" t="s">
        <v>89</v>
      </c>
      <c r="D36" s="23" t="s">
        <v>885</v>
      </c>
      <c r="E36" s="20"/>
      <c r="F36" s="22" t="s">
        <v>886</v>
      </c>
      <c r="G36" s="23" t="s">
        <v>949</v>
      </c>
      <c r="H36" s="57">
        <v>4</v>
      </c>
      <c r="I36" s="57">
        <v>0</v>
      </c>
      <c r="J36" s="119">
        <v>-39977919.119999997</v>
      </c>
    </row>
    <row r="37" spans="1:10" x14ac:dyDescent="0.25">
      <c r="A37" s="20">
        <v>36</v>
      </c>
      <c r="B37" s="21">
        <v>45877</v>
      </c>
      <c r="C37" s="20" t="s">
        <v>89</v>
      </c>
      <c r="D37" s="20" t="s">
        <v>497</v>
      </c>
      <c r="E37" s="20"/>
      <c r="F37" s="22" t="s">
        <v>917</v>
      </c>
      <c r="G37" s="23" t="s">
        <v>950</v>
      </c>
      <c r="H37" s="57">
        <v>0</v>
      </c>
      <c r="I37" s="57">
        <v>13.792669999999999</v>
      </c>
      <c r="J37" s="119">
        <v>-38598652.119999997</v>
      </c>
    </row>
    <row r="38" spans="1:10" x14ac:dyDescent="0.25">
      <c r="A38" s="20">
        <v>37</v>
      </c>
      <c r="B38" s="21">
        <v>45877</v>
      </c>
      <c r="C38" s="20" t="s">
        <v>89</v>
      </c>
      <c r="D38" s="20" t="s">
        <v>140</v>
      </c>
      <c r="E38" s="20"/>
      <c r="F38" s="22" t="s">
        <v>141</v>
      </c>
      <c r="G38" s="23" t="s">
        <v>951</v>
      </c>
      <c r="H38" s="57">
        <v>1.5</v>
      </c>
      <c r="I38" s="57">
        <v>0</v>
      </c>
      <c r="J38" s="119">
        <v>-38748652.119999997</v>
      </c>
    </row>
    <row r="39" spans="1:10" x14ac:dyDescent="0.25">
      <c r="A39" s="20">
        <v>38</v>
      </c>
      <c r="B39" s="21">
        <v>45880</v>
      </c>
      <c r="C39" s="20" t="s">
        <v>89</v>
      </c>
      <c r="D39" s="20" t="s">
        <v>91</v>
      </c>
      <c r="E39" s="20"/>
      <c r="F39" s="22" t="s">
        <v>884</v>
      </c>
      <c r="G39" s="23" t="s">
        <v>952</v>
      </c>
      <c r="H39" s="57">
        <v>10</v>
      </c>
      <c r="I39" s="57">
        <v>0</v>
      </c>
      <c r="J39" s="119">
        <v>-39748652.119999997</v>
      </c>
    </row>
    <row r="40" spans="1:10" x14ac:dyDescent="0.25">
      <c r="A40" s="20">
        <v>39</v>
      </c>
      <c r="B40" s="21">
        <v>45880</v>
      </c>
      <c r="C40" s="20" t="s">
        <v>89</v>
      </c>
      <c r="D40" s="20" t="s">
        <v>759</v>
      </c>
      <c r="E40" s="20"/>
      <c r="F40" s="22" t="s">
        <v>908</v>
      </c>
      <c r="G40" s="23" t="s">
        <v>953</v>
      </c>
      <c r="H40" s="57">
        <v>0.32</v>
      </c>
      <c r="I40" s="57">
        <v>0</v>
      </c>
      <c r="J40" s="119">
        <v>-39780652.119999997</v>
      </c>
    </row>
    <row r="41" spans="1:10" ht="25.5" x14ac:dyDescent="0.25">
      <c r="A41" s="20">
        <v>40</v>
      </c>
      <c r="B41" s="21">
        <v>45880</v>
      </c>
      <c r="C41" s="20" t="s">
        <v>89</v>
      </c>
      <c r="D41" s="20" t="s">
        <v>759</v>
      </c>
      <c r="E41" s="20"/>
      <c r="F41" s="22" t="s">
        <v>769</v>
      </c>
      <c r="G41" s="23" t="s">
        <v>954</v>
      </c>
      <c r="H41" s="57">
        <v>0.15844</v>
      </c>
      <c r="I41" s="57">
        <v>0</v>
      </c>
      <c r="J41" s="119">
        <v>-39796496.119999997</v>
      </c>
    </row>
    <row r="42" spans="1:10" x14ac:dyDescent="0.25">
      <c r="A42" s="20">
        <v>41</v>
      </c>
      <c r="B42" s="21">
        <v>45881</v>
      </c>
      <c r="C42" s="20" t="s">
        <v>89</v>
      </c>
      <c r="D42" s="20" t="s">
        <v>497</v>
      </c>
      <c r="E42" s="20"/>
      <c r="F42" s="22" t="s">
        <v>918</v>
      </c>
      <c r="G42" s="23" t="s">
        <v>955</v>
      </c>
      <c r="H42" s="57">
        <v>0</v>
      </c>
      <c r="I42" s="57">
        <v>4.75</v>
      </c>
      <c r="J42" s="119">
        <v>-39321496.119999997</v>
      </c>
    </row>
    <row r="43" spans="1:10" x14ac:dyDescent="0.25">
      <c r="A43" s="20">
        <v>42</v>
      </c>
      <c r="B43" s="21">
        <v>45881</v>
      </c>
      <c r="C43" s="20" t="s">
        <v>89</v>
      </c>
      <c r="D43" s="20" t="s">
        <v>747</v>
      </c>
      <c r="E43" s="20"/>
      <c r="F43" s="22" t="s">
        <v>881</v>
      </c>
      <c r="G43" s="23" t="s">
        <v>956</v>
      </c>
      <c r="H43" s="57">
        <v>2.2124999999999999E-2</v>
      </c>
      <c r="I43" s="57">
        <v>0</v>
      </c>
      <c r="J43" s="119">
        <v>-39323708.619999997</v>
      </c>
    </row>
    <row r="44" spans="1:10" x14ac:dyDescent="0.25">
      <c r="A44" s="20">
        <v>43</v>
      </c>
      <c r="B44" s="21">
        <v>45881</v>
      </c>
      <c r="C44" s="20" t="s">
        <v>89</v>
      </c>
      <c r="D44" s="20" t="s">
        <v>747</v>
      </c>
      <c r="E44" s="20"/>
      <c r="F44" s="22" t="s">
        <v>881</v>
      </c>
      <c r="G44" s="23" t="s">
        <v>957</v>
      </c>
      <c r="H44" s="57">
        <v>2.2124999999999999E-2</v>
      </c>
      <c r="I44" s="57">
        <v>0</v>
      </c>
      <c r="J44" s="119">
        <v>-39325921.119999997</v>
      </c>
    </row>
    <row r="45" spans="1:10" x14ac:dyDescent="0.25">
      <c r="A45" s="20">
        <v>44</v>
      </c>
      <c r="B45" s="21">
        <v>45881</v>
      </c>
      <c r="C45" s="20" t="s">
        <v>89</v>
      </c>
      <c r="D45" s="20" t="s">
        <v>497</v>
      </c>
      <c r="E45" s="20"/>
      <c r="F45" s="22" t="s">
        <v>918</v>
      </c>
      <c r="G45" s="23" t="s">
        <v>958</v>
      </c>
      <c r="H45" s="57">
        <v>0</v>
      </c>
      <c r="I45" s="57">
        <v>9</v>
      </c>
      <c r="J45" s="119">
        <v>-38425921.119999997</v>
      </c>
    </row>
    <row r="46" spans="1:10" x14ac:dyDescent="0.25">
      <c r="A46" s="20">
        <v>45</v>
      </c>
      <c r="B46" s="21">
        <v>45881</v>
      </c>
      <c r="C46" s="20" t="s">
        <v>89</v>
      </c>
      <c r="D46" s="20" t="s">
        <v>91</v>
      </c>
      <c r="E46" s="20"/>
      <c r="F46" s="22" t="s">
        <v>884</v>
      </c>
      <c r="G46" s="23" t="s">
        <v>959</v>
      </c>
      <c r="H46" s="57">
        <v>0</v>
      </c>
      <c r="I46" s="57">
        <v>10</v>
      </c>
      <c r="J46" s="119">
        <v>-37425921.119999997</v>
      </c>
    </row>
    <row r="47" spans="1:10" ht="25.5" x14ac:dyDescent="0.25">
      <c r="A47" s="20">
        <v>46</v>
      </c>
      <c r="B47" s="21">
        <v>45881</v>
      </c>
      <c r="C47" s="20" t="s">
        <v>89</v>
      </c>
      <c r="D47" s="20" t="s">
        <v>787</v>
      </c>
      <c r="E47" s="20"/>
      <c r="F47" s="22" t="s">
        <v>876</v>
      </c>
      <c r="G47" s="23" t="s">
        <v>960</v>
      </c>
      <c r="H47" s="57">
        <v>12.5</v>
      </c>
      <c r="I47" s="57">
        <v>0</v>
      </c>
      <c r="J47" s="119">
        <v>-38675921.119999997</v>
      </c>
    </row>
    <row r="48" spans="1:10" ht="25.5" x14ac:dyDescent="0.25">
      <c r="A48" s="20">
        <v>47</v>
      </c>
      <c r="B48" s="21">
        <v>45881</v>
      </c>
      <c r="C48" s="20" t="s">
        <v>89</v>
      </c>
      <c r="D48" s="20" t="s">
        <v>787</v>
      </c>
      <c r="E48" s="20"/>
      <c r="F48" s="22" t="s">
        <v>875</v>
      </c>
      <c r="G48" s="23" t="s">
        <v>961</v>
      </c>
      <c r="H48" s="57">
        <v>12.5</v>
      </c>
      <c r="I48" s="57">
        <v>0</v>
      </c>
      <c r="J48" s="119">
        <v>-39925921.119999997</v>
      </c>
    </row>
    <row r="49" spans="1:10" x14ac:dyDescent="0.25">
      <c r="A49" s="20">
        <v>48</v>
      </c>
      <c r="B49" s="21">
        <v>45882</v>
      </c>
      <c r="C49" s="20" t="s">
        <v>89</v>
      </c>
      <c r="D49" s="20" t="s">
        <v>140</v>
      </c>
      <c r="E49" s="20"/>
      <c r="F49" s="22" t="s">
        <v>141</v>
      </c>
      <c r="G49" s="23" t="s">
        <v>962</v>
      </c>
      <c r="H49" s="57">
        <v>0.5</v>
      </c>
      <c r="I49" s="57">
        <v>0</v>
      </c>
      <c r="J49" s="119">
        <v>-39975921.119999997</v>
      </c>
    </row>
    <row r="50" spans="1:10" x14ac:dyDescent="0.25">
      <c r="A50" s="20">
        <v>49</v>
      </c>
      <c r="B50" s="21">
        <v>45883</v>
      </c>
      <c r="C50" s="20" t="s">
        <v>89</v>
      </c>
      <c r="D50" s="20" t="s">
        <v>91</v>
      </c>
      <c r="E50" s="20"/>
      <c r="F50" s="22" t="s">
        <v>884</v>
      </c>
      <c r="G50" s="23" t="s">
        <v>920</v>
      </c>
      <c r="H50" s="57">
        <v>0</v>
      </c>
      <c r="I50" s="57">
        <v>0.5</v>
      </c>
      <c r="J50" s="119">
        <v>-39925921.119999997</v>
      </c>
    </row>
    <row r="51" spans="1:10" x14ac:dyDescent="0.25">
      <c r="A51" s="20">
        <v>50</v>
      </c>
      <c r="B51" s="21">
        <v>45883</v>
      </c>
      <c r="C51" s="20" t="s">
        <v>89</v>
      </c>
      <c r="D51" s="20" t="s">
        <v>759</v>
      </c>
      <c r="E51" s="20"/>
      <c r="F51" s="22" t="s">
        <v>908</v>
      </c>
      <c r="G51" s="23" t="s">
        <v>963</v>
      </c>
      <c r="H51" s="57">
        <v>0.3</v>
      </c>
      <c r="I51" s="57">
        <v>0</v>
      </c>
      <c r="J51" s="119">
        <v>-39955921.119999997</v>
      </c>
    </row>
    <row r="52" spans="1:10" x14ac:dyDescent="0.25">
      <c r="A52" s="20">
        <v>51</v>
      </c>
      <c r="B52" s="21">
        <v>45883</v>
      </c>
      <c r="C52" s="20" t="s">
        <v>89</v>
      </c>
      <c r="D52" s="20" t="s">
        <v>91</v>
      </c>
      <c r="E52" s="20"/>
      <c r="F52" s="22" t="s">
        <v>884</v>
      </c>
      <c r="G52" s="23" t="s">
        <v>920</v>
      </c>
      <c r="H52" s="57">
        <v>0</v>
      </c>
      <c r="I52" s="57">
        <v>3</v>
      </c>
      <c r="J52" s="119">
        <v>-39655921.119999997</v>
      </c>
    </row>
    <row r="53" spans="1:10" ht="25.5" x14ac:dyDescent="0.25">
      <c r="A53" s="20">
        <v>52</v>
      </c>
      <c r="B53" s="21">
        <v>45883</v>
      </c>
      <c r="C53" s="20" t="s">
        <v>89</v>
      </c>
      <c r="D53" s="23" t="s">
        <v>885</v>
      </c>
      <c r="E53" s="20"/>
      <c r="F53" s="22" t="s">
        <v>886</v>
      </c>
      <c r="G53" s="23" t="s">
        <v>964</v>
      </c>
      <c r="H53" s="57">
        <v>2</v>
      </c>
      <c r="I53" s="57">
        <v>0</v>
      </c>
      <c r="J53" s="119">
        <v>-39855921.119999997</v>
      </c>
    </row>
    <row r="54" spans="1:10" x14ac:dyDescent="0.25">
      <c r="A54" s="20">
        <v>53</v>
      </c>
      <c r="B54" s="21">
        <v>45883</v>
      </c>
      <c r="C54" s="20" t="s">
        <v>89</v>
      </c>
      <c r="D54" s="20" t="s">
        <v>788</v>
      </c>
      <c r="E54" s="20"/>
      <c r="F54" s="22" t="s">
        <v>870</v>
      </c>
      <c r="G54" s="23" t="s">
        <v>965</v>
      </c>
      <c r="H54" s="57">
        <v>0</v>
      </c>
      <c r="I54" s="57">
        <v>11.21543</v>
      </c>
      <c r="J54" s="119">
        <v>-38734378.119999997</v>
      </c>
    </row>
    <row r="55" spans="1:10" x14ac:dyDescent="0.25">
      <c r="A55" s="20">
        <v>54</v>
      </c>
      <c r="B55" s="21">
        <v>45883</v>
      </c>
      <c r="C55" s="20" t="s">
        <v>89</v>
      </c>
      <c r="D55" s="20" t="s">
        <v>788</v>
      </c>
      <c r="E55" s="20"/>
      <c r="F55" s="22" t="s">
        <v>870</v>
      </c>
      <c r="G55" s="23" t="s">
        <v>966</v>
      </c>
      <c r="H55" s="57">
        <v>0.172985</v>
      </c>
      <c r="I55" s="57">
        <v>0</v>
      </c>
      <c r="J55" s="119">
        <v>-38751676.619999997</v>
      </c>
    </row>
    <row r="56" spans="1:10" x14ac:dyDescent="0.25">
      <c r="A56" s="20">
        <v>55</v>
      </c>
      <c r="B56" s="21">
        <v>45887</v>
      </c>
      <c r="C56" s="20" t="s">
        <v>89</v>
      </c>
      <c r="D56" s="20" t="s">
        <v>91</v>
      </c>
      <c r="E56" s="20"/>
      <c r="F56" s="22" t="s">
        <v>884</v>
      </c>
      <c r="G56" s="23" t="s">
        <v>967</v>
      </c>
      <c r="H56" s="57">
        <v>6</v>
      </c>
      <c r="I56" s="57">
        <v>0</v>
      </c>
      <c r="J56" s="119">
        <v>-39351676.619999997</v>
      </c>
    </row>
    <row r="57" spans="1:10" x14ac:dyDescent="0.25">
      <c r="A57" s="20">
        <v>56</v>
      </c>
      <c r="B57" s="21">
        <v>45887</v>
      </c>
      <c r="C57" s="20" t="s">
        <v>89</v>
      </c>
      <c r="D57" s="20" t="s">
        <v>888</v>
      </c>
      <c r="E57" s="20"/>
      <c r="F57" s="22" t="s">
        <v>125</v>
      </c>
      <c r="G57" s="23" t="s">
        <v>968</v>
      </c>
      <c r="H57" s="57">
        <v>2.1</v>
      </c>
      <c r="I57" s="57">
        <v>0</v>
      </c>
      <c r="J57" s="119">
        <v>-39561676.619999997</v>
      </c>
    </row>
    <row r="58" spans="1:10" ht="25.5" x14ac:dyDescent="0.25">
      <c r="A58" s="20">
        <v>57</v>
      </c>
      <c r="B58" s="21">
        <v>45887</v>
      </c>
      <c r="C58" s="20" t="s">
        <v>89</v>
      </c>
      <c r="D58" s="23" t="s">
        <v>885</v>
      </c>
      <c r="E58" s="20"/>
      <c r="F58" s="22" t="s">
        <v>886</v>
      </c>
      <c r="G58" s="23" t="s">
        <v>969</v>
      </c>
      <c r="H58" s="57">
        <v>1</v>
      </c>
      <c r="I58" s="57">
        <v>0</v>
      </c>
      <c r="J58" s="119">
        <v>-39661676.619999997</v>
      </c>
    </row>
    <row r="59" spans="1:10" x14ac:dyDescent="0.25">
      <c r="A59" s="20">
        <v>58</v>
      </c>
      <c r="B59" s="21">
        <v>45888</v>
      </c>
      <c r="C59" s="20" t="s">
        <v>89</v>
      </c>
      <c r="D59" s="20" t="s">
        <v>91</v>
      </c>
      <c r="E59" s="20"/>
      <c r="F59" s="22" t="s">
        <v>884</v>
      </c>
      <c r="G59" s="23" t="s">
        <v>970</v>
      </c>
      <c r="H59" s="57">
        <v>2</v>
      </c>
      <c r="I59" s="57">
        <v>0</v>
      </c>
      <c r="J59" s="119">
        <v>-39861676.619999997</v>
      </c>
    </row>
    <row r="60" spans="1:10" x14ac:dyDescent="0.25">
      <c r="A60" s="20">
        <v>59</v>
      </c>
      <c r="B60" s="21">
        <v>45889</v>
      </c>
      <c r="C60" s="20" t="s">
        <v>89</v>
      </c>
      <c r="D60" s="20" t="s">
        <v>497</v>
      </c>
      <c r="E60" s="20"/>
      <c r="F60" s="22" t="s">
        <v>895</v>
      </c>
      <c r="G60" s="23" t="s">
        <v>971</v>
      </c>
      <c r="H60" s="57">
        <v>0</v>
      </c>
      <c r="I60" s="57">
        <v>13</v>
      </c>
      <c r="J60" s="119">
        <v>-38561676.619999997</v>
      </c>
    </row>
    <row r="61" spans="1:10" x14ac:dyDescent="0.25">
      <c r="A61" s="20">
        <v>60</v>
      </c>
      <c r="B61" s="21">
        <v>45889</v>
      </c>
      <c r="C61" s="20" t="s">
        <v>89</v>
      </c>
      <c r="D61" s="20" t="s">
        <v>91</v>
      </c>
      <c r="E61" s="20"/>
      <c r="F61" s="22" t="s">
        <v>884</v>
      </c>
      <c r="G61" s="23" t="s">
        <v>972</v>
      </c>
      <c r="H61" s="57">
        <v>13</v>
      </c>
      <c r="I61" s="57">
        <v>0</v>
      </c>
      <c r="J61" s="119">
        <v>-39861676.619999997</v>
      </c>
    </row>
    <row r="62" spans="1:10" ht="25.5" x14ac:dyDescent="0.25">
      <c r="A62" s="20">
        <v>61</v>
      </c>
      <c r="B62" s="21">
        <v>45889</v>
      </c>
      <c r="C62" s="20" t="s">
        <v>89</v>
      </c>
      <c r="D62" s="23" t="s">
        <v>885</v>
      </c>
      <c r="E62" s="20"/>
      <c r="F62" s="22" t="s">
        <v>886</v>
      </c>
      <c r="G62" s="23" t="s">
        <v>973</v>
      </c>
      <c r="H62" s="57">
        <v>1</v>
      </c>
      <c r="I62" s="57">
        <v>0</v>
      </c>
      <c r="J62" s="119">
        <v>-39961676.619999997</v>
      </c>
    </row>
    <row r="63" spans="1:10" x14ac:dyDescent="0.25">
      <c r="A63" s="20">
        <v>62</v>
      </c>
      <c r="B63" s="21">
        <v>45890</v>
      </c>
      <c r="C63" s="20" t="s">
        <v>89</v>
      </c>
      <c r="D63" s="20" t="s">
        <v>787</v>
      </c>
      <c r="E63" s="20"/>
      <c r="F63" s="22" t="s">
        <v>877</v>
      </c>
      <c r="G63" s="23" t="s">
        <v>974</v>
      </c>
      <c r="H63" s="57">
        <v>0</v>
      </c>
      <c r="I63" s="57">
        <v>100</v>
      </c>
      <c r="J63" s="119">
        <v>-29961676.620000001</v>
      </c>
    </row>
    <row r="64" spans="1:10" x14ac:dyDescent="0.25">
      <c r="A64" s="20">
        <v>63</v>
      </c>
      <c r="B64" s="21">
        <v>45890</v>
      </c>
      <c r="C64" s="20" t="s">
        <v>89</v>
      </c>
      <c r="D64" s="20" t="s">
        <v>787</v>
      </c>
      <c r="E64" s="20"/>
      <c r="F64" s="22" t="s">
        <v>877</v>
      </c>
      <c r="G64" s="23" t="s">
        <v>975</v>
      </c>
      <c r="H64" s="57">
        <v>0</v>
      </c>
      <c r="I64" s="57">
        <v>44</v>
      </c>
      <c r="J64" s="119">
        <v>-25561676.620000001</v>
      </c>
    </row>
    <row r="65" spans="1:10" x14ac:dyDescent="0.25">
      <c r="A65" s="20">
        <v>64</v>
      </c>
      <c r="B65" s="21">
        <v>45890</v>
      </c>
      <c r="C65" s="20" t="s">
        <v>89</v>
      </c>
      <c r="D65" s="20" t="s">
        <v>787</v>
      </c>
      <c r="E65" s="20"/>
      <c r="F65" s="22" t="s">
        <v>878</v>
      </c>
      <c r="G65" s="23" t="s">
        <v>976</v>
      </c>
      <c r="H65" s="57">
        <v>0</v>
      </c>
      <c r="I65" s="57">
        <v>36</v>
      </c>
      <c r="J65" s="119">
        <v>-21961676.620000001</v>
      </c>
    </row>
    <row r="66" spans="1:10" x14ac:dyDescent="0.25">
      <c r="A66" s="20">
        <v>65</v>
      </c>
      <c r="B66" s="21">
        <v>45890</v>
      </c>
      <c r="C66" s="20" t="s">
        <v>89</v>
      </c>
      <c r="D66" s="20" t="s">
        <v>91</v>
      </c>
      <c r="E66" s="20"/>
      <c r="F66" s="22" t="s">
        <v>884</v>
      </c>
      <c r="G66" s="23" t="s">
        <v>977</v>
      </c>
      <c r="H66" s="57">
        <v>1</v>
      </c>
      <c r="I66" s="57">
        <v>0</v>
      </c>
      <c r="J66" s="119">
        <v>-22061676.620000001</v>
      </c>
    </row>
    <row r="67" spans="1:10" x14ac:dyDescent="0.25">
      <c r="A67" s="20">
        <v>66</v>
      </c>
      <c r="B67" s="21">
        <v>45890</v>
      </c>
      <c r="C67" s="20" t="s">
        <v>89</v>
      </c>
      <c r="D67" s="20" t="s">
        <v>759</v>
      </c>
      <c r="E67" s="20"/>
      <c r="F67" s="22" t="s">
        <v>901</v>
      </c>
      <c r="G67" s="23" t="s">
        <v>978</v>
      </c>
      <c r="H67" s="57">
        <v>1</v>
      </c>
      <c r="I67" s="57">
        <v>0</v>
      </c>
      <c r="J67" s="119">
        <v>-22161676.620000001</v>
      </c>
    </row>
    <row r="68" spans="1:10" x14ac:dyDescent="0.25">
      <c r="A68" s="20">
        <v>67</v>
      </c>
      <c r="B68" s="21">
        <v>45890</v>
      </c>
      <c r="C68" s="20" t="s">
        <v>89</v>
      </c>
      <c r="D68" s="20" t="s">
        <v>759</v>
      </c>
      <c r="E68" s="20"/>
      <c r="F68" s="22" t="s">
        <v>909</v>
      </c>
      <c r="G68" s="23" t="s">
        <v>979</v>
      </c>
      <c r="H68" s="57">
        <v>1.1299999999999999</v>
      </c>
      <c r="I68" s="57">
        <v>0</v>
      </c>
      <c r="J68" s="119">
        <v>-22274676.620000001</v>
      </c>
    </row>
    <row r="69" spans="1:10" x14ac:dyDescent="0.25">
      <c r="A69" s="20">
        <v>68</v>
      </c>
      <c r="B69" s="21">
        <v>45890</v>
      </c>
      <c r="C69" s="20" t="s">
        <v>89</v>
      </c>
      <c r="D69" s="20" t="s">
        <v>759</v>
      </c>
      <c r="E69" s="20"/>
      <c r="F69" s="22" t="s">
        <v>905</v>
      </c>
      <c r="G69" s="23" t="s">
        <v>980</v>
      </c>
      <c r="H69" s="57">
        <v>5.85548</v>
      </c>
      <c r="I69" s="57">
        <v>0</v>
      </c>
      <c r="J69" s="119">
        <v>-22860224.620000001</v>
      </c>
    </row>
    <row r="70" spans="1:10" ht="25.5" x14ac:dyDescent="0.25">
      <c r="A70" s="20">
        <v>69</v>
      </c>
      <c r="B70" s="21">
        <v>45890</v>
      </c>
      <c r="C70" s="20" t="s">
        <v>89</v>
      </c>
      <c r="D70" s="23" t="s">
        <v>885</v>
      </c>
      <c r="E70" s="20"/>
      <c r="F70" s="22" t="s">
        <v>886</v>
      </c>
      <c r="G70" s="23" t="s">
        <v>981</v>
      </c>
      <c r="H70" s="57">
        <v>70</v>
      </c>
      <c r="I70" s="57">
        <v>0</v>
      </c>
      <c r="J70" s="119">
        <v>-29860224.620000001</v>
      </c>
    </row>
    <row r="71" spans="1:10" ht="25.5" x14ac:dyDescent="0.25">
      <c r="A71" s="20">
        <v>70</v>
      </c>
      <c r="B71" s="21">
        <v>45891</v>
      </c>
      <c r="C71" s="20" t="s">
        <v>89</v>
      </c>
      <c r="D71" s="23" t="s">
        <v>885</v>
      </c>
      <c r="E71" s="20"/>
      <c r="F71" s="22" t="s">
        <v>886</v>
      </c>
      <c r="G71" s="23" t="s">
        <v>982</v>
      </c>
      <c r="H71" s="57">
        <v>85</v>
      </c>
      <c r="I71" s="57">
        <v>0</v>
      </c>
      <c r="J71" s="119">
        <v>-38360224.619999997</v>
      </c>
    </row>
    <row r="72" spans="1:10" ht="25.5" x14ac:dyDescent="0.25">
      <c r="A72" s="20">
        <v>71</v>
      </c>
      <c r="B72" s="21">
        <v>45891</v>
      </c>
      <c r="C72" s="20" t="s">
        <v>89</v>
      </c>
      <c r="D72" s="20" t="s">
        <v>759</v>
      </c>
      <c r="E72" s="20"/>
      <c r="F72" s="22" t="s">
        <v>907</v>
      </c>
      <c r="G72" s="23" t="s">
        <v>983</v>
      </c>
      <c r="H72" s="57">
        <v>5.7141700000000002</v>
      </c>
      <c r="I72" s="57">
        <v>0</v>
      </c>
      <c r="J72" s="119">
        <v>-38931641.619999997</v>
      </c>
    </row>
    <row r="73" spans="1:10" ht="25.5" x14ac:dyDescent="0.25">
      <c r="A73" s="20">
        <v>72</v>
      </c>
      <c r="B73" s="21">
        <v>45891</v>
      </c>
      <c r="C73" s="20" t="s">
        <v>89</v>
      </c>
      <c r="D73" s="20" t="s">
        <v>759</v>
      </c>
      <c r="E73" s="20"/>
      <c r="F73" s="22" t="s">
        <v>801</v>
      </c>
      <c r="G73" s="23" t="s">
        <v>984</v>
      </c>
      <c r="H73" s="57">
        <v>10.358980000000001</v>
      </c>
      <c r="I73" s="57">
        <v>0</v>
      </c>
      <c r="J73" s="119">
        <v>-39967539.619999997</v>
      </c>
    </row>
    <row r="74" spans="1:10" x14ac:dyDescent="0.25">
      <c r="A74" s="20">
        <v>73</v>
      </c>
      <c r="B74" s="21">
        <v>45894</v>
      </c>
      <c r="C74" s="20" t="s">
        <v>89</v>
      </c>
      <c r="D74" s="20" t="s">
        <v>788</v>
      </c>
      <c r="E74" s="20"/>
      <c r="F74" s="22" t="s">
        <v>870</v>
      </c>
      <c r="G74" s="23" t="s">
        <v>985</v>
      </c>
      <c r="H74" s="57">
        <v>2.7730000000000003E-3</v>
      </c>
      <c r="I74" s="57">
        <v>0</v>
      </c>
      <c r="J74" s="119">
        <v>-39967816.920000002</v>
      </c>
    </row>
    <row r="75" spans="1:10" x14ac:dyDescent="0.25">
      <c r="A75" s="20">
        <v>74</v>
      </c>
      <c r="B75" s="21">
        <v>45895</v>
      </c>
      <c r="C75" s="20" t="s">
        <v>89</v>
      </c>
      <c r="D75" s="20" t="s">
        <v>91</v>
      </c>
      <c r="E75" s="20"/>
      <c r="F75" s="22" t="s">
        <v>884</v>
      </c>
      <c r="G75" s="23" t="s">
        <v>986</v>
      </c>
      <c r="H75" s="57">
        <v>0</v>
      </c>
      <c r="I75" s="57">
        <v>1.25</v>
      </c>
      <c r="J75" s="119">
        <v>-39842816.920000002</v>
      </c>
    </row>
    <row r="76" spans="1:10" x14ac:dyDescent="0.25">
      <c r="A76" s="20">
        <v>75</v>
      </c>
      <c r="B76" s="21">
        <v>45895</v>
      </c>
      <c r="C76" s="20" t="s">
        <v>89</v>
      </c>
      <c r="D76" s="20" t="s">
        <v>91</v>
      </c>
      <c r="E76" s="20"/>
      <c r="F76" s="22" t="s">
        <v>884</v>
      </c>
      <c r="G76" s="23" t="s">
        <v>920</v>
      </c>
      <c r="H76" s="57">
        <v>0</v>
      </c>
      <c r="I76" s="57">
        <v>29</v>
      </c>
      <c r="J76" s="119">
        <v>-36942816.920000002</v>
      </c>
    </row>
    <row r="77" spans="1:10" x14ac:dyDescent="0.25">
      <c r="A77" s="20">
        <v>76</v>
      </c>
      <c r="B77" s="21">
        <v>45895</v>
      </c>
      <c r="C77" s="20" t="s">
        <v>89</v>
      </c>
      <c r="D77" s="20" t="s">
        <v>759</v>
      </c>
      <c r="E77" s="20"/>
      <c r="F77" s="22" t="s">
        <v>911</v>
      </c>
      <c r="G77" s="23" t="s">
        <v>987</v>
      </c>
      <c r="H77" s="57">
        <v>1.23</v>
      </c>
      <c r="I77" s="57">
        <v>0</v>
      </c>
      <c r="J77" s="119">
        <v>-37065816.920000002</v>
      </c>
    </row>
    <row r="78" spans="1:10" ht="25.5" x14ac:dyDescent="0.25">
      <c r="A78" s="20">
        <v>77</v>
      </c>
      <c r="B78" s="21">
        <v>45895</v>
      </c>
      <c r="C78" s="20" t="s">
        <v>89</v>
      </c>
      <c r="D78" s="23" t="s">
        <v>885</v>
      </c>
      <c r="E78" s="20"/>
      <c r="F78" s="22" t="s">
        <v>886</v>
      </c>
      <c r="G78" s="23" t="s">
        <v>988</v>
      </c>
      <c r="H78" s="57">
        <v>26</v>
      </c>
      <c r="I78" s="57">
        <v>0</v>
      </c>
      <c r="J78" s="119">
        <v>-39665816.920000002</v>
      </c>
    </row>
    <row r="79" spans="1:10" ht="25.5" x14ac:dyDescent="0.25">
      <c r="A79" s="20">
        <v>78</v>
      </c>
      <c r="B79" s="21">
        <v>45895</v>
      </c>
      <c r="C79" s="20" t="s">
        <v>89</v>
      </c>
      <c r="D79" s="23" t="s">
        <v>885</v>
      </c>
      <c r="E79" s="20"/>
      <c r="F79" s="22" t="s">
        <v>886</v>
      </c>
      <c r="G79" s="23" t="s">
        <v>989</v>
      </c>
      <c r="H79" s="57">
        <v>3</v>
      </c>
      <c r="I79" s="57">
        <v>0</v>
      </c>
      <c r="J79" s="119">
        <v>-39965816.920000002</v>
      </c>
    </row>
    <row r="80" spans="1:10" ht="25.5" x14ac:dyDescent="0.25">
      <c r="A80" s="20">
        <v>79</v>
      </c>
      <c r="B80" s="21">
        <v>45899</v>
      </c>
      <c r="C80" s="20" t="s">
        <v>89</v>
      </c>
      <c r="D80" s="20" t="s">
        <v>759</v>
      </c>
      <c r="E80" s="20"/>
      <c r="F80" s="22" t="s">
        <v>913</v>
      </c>
      <c r="G80" s="23" t="s">
        <v>990</v>
      </c>
      <c r="H80" s="57">
        <v>0.33228000000000002</v>
      </c>
      <c r="I80" s="57">
        <v>0</v>
      </c>
      <c r="J80" s="119">
        <v>-39999044.920000002</v>
      </c>
    </row>
    <row r="81" spans="1:10" x14ac:dyDescent="0.25">
      <c r="A81" s="20">
        <v>80</v>
      </c>
      <c r="B81" s="21">
        <v>45900</v>
      </c>
      <c r="C81" s="20" t="s">
        <v>89</v>
      </c>
      <c r="D81" s="20" t="s">
        <v>752</v>
      </c>
      <c r="E81" s="20"/>
      <c r="F81" s="22" t="s">
        <v>874</v>
      </c>
      <c r="G81" s="23" t="s">
        <v>991</v>
      </c>
      <c r="H81" s="57">
        <v>3.36463</v>
      </c>
      <c r="I81" s="57">
        <v>0</v>
      </c>
      <c r="J81" s="119">
        <v>-40335507.920000002</v>
      </c>
    </row>
    <row r="82" spans="1:10" x14ac:dyDescent="0.25">
      <c r="A82" s="20">
        <v>81</v>
      </c>
      <c r="B82" s="21">
        <v>45902</v>
      </c>
      <c r="C82" s="20" t="s">
        <v>224</v>
      </c>
      <c r="D82" s="20" t="s">
        <v>497</v>
      </c>
      <c r="E82" s="20"/>
      <c r="F82" s="22" t="s">
        <v>895</v>
      </c>
      <c r="G82" s="23" t="s">
        <v>992</v>
      </c>
      <c r="H82" s="57">
        <v>0</v>
      </c>
      <c r="I82" s="57">
        <v>12</v>
      </c>
      <c r="J82" s="119">
        <v>-39135507.920000002</v>
      </c>
    </row>
    <row r="83" spans="1:10" ht="25.5" x14ac:dyDescent="0.25">
      <c r="A83" s="20">
        <v>82</v>
      </c>
      <c r="B83" s="21">
        <v>45904</v>
      </c>
      <c r="C83" s="20" t="s">
        <v>224</v>
      </c>
      <c r="D83" s="23" t="s">
        <v>885</v>
      </c>
      <c r="E83" s="20"/>
      <c r="F83" s="22" t="s">
        <v>886</v>
      </c>
      <c r="G83" s="23" t="s">
        <v>993</v>
      </c>
      <c r="H83" s="57">
        <v>5</v>
      </c>
      <c r="I83" s="57">
        <v>0</v>
      </c>
      <c r="J83" s="119">
        <v>-39635507.920000002</v>
      </c>
    </row>
    <row r="84" spans="1:10" ht="25.5" x14ac:dyDescent="0.25">
      <c r="A84" s="20">
        <v>83</v>
      </c>
      <c r="B84" s="21">
        <v>45904</v>
      </c>
      <c r="C84" s="20" t="s">
        <v>224</v>
      </c>
      <c r="D84" s="20" t="s">
        <v>759</v>
      </c>
      <c r="E84" s="20"/>
      <c r="F84" s="22" t="s">
        <v>904</v>
      </c>
      <c r="G84" s="23" t="s">
        <v>994</v>
      </c>
      <c r="H84" s="57">
        <v>0.12</v>
      </c>
      <c r="I84" s="57">
        <v>0</v>
      </c>
      <c r="J84" s="119">
        <v>-39647507.920000002</v>
      </c>
    </row>
    <row r="85" spans="1:10" x14ac:dyDescent="0.25">
      <c r="A85" s="20">
        <v>84</v>
      </c>
      <c r="B85" s="21">
        <v>45904</v>
      </c>
      <c r="C85" s="20" t="s">
        <v>224</v>
      </c>
      <c r="D85" s="20" t="s">
        <v>788</v>
      </c>
      <c r="E85" s="20"/>
      <c r="F85" s="22" t="s">
        <v>873</v>
      </c>
      <c r="G85" s="23" t="s">
        <v>995</v>
      </c>
      <c r="H85" s="57">
        <v>1.282E-2</v>
      </c>
      <c r="I85" s="57">
        <v>0</v>
      </c>
      <c r="J85" s="119">
        <v>-39648789.920000002</v>
      </c>
    </row>
    <row r="86" spans="1:10" x14ac:dyDescent="0.25">
      <c r="A86" s="20">
        <v>85</v>
      </c>
      <c r="B86" s="21">
        <v>45904</v>
      </c>
      <c r="C86" s="20" t="s">
        <v>224</v>
      </c>
      <c r="D86" s="20" t="s">
        <v>788</v>
      </c>
      <c r="E86" s="20"/>
      <c r="F86" s="22" t="s">
        <v>873</v>
      </c>
      <c r="G86" s="23" t="s">
        <v>996</v>
      </c>
      <c r="H86" s="57">
        <v>1.5057499999999999</v>
      </c>
      <c r="I86" s="57">
        <v>0</v>
      </c>
      <c r="J86" s="119">
        <v>-39799364.920000002</v>
      </c>
    </row>
    <row r="87" spans="1:10" x14ac:dyDescent="0.25">
      <c r="A87" s="20">
        <v>86</v>
      </c>
      <c r="B87" s="21">
        <v>45909</v>
      </c>
      <c r="C87" s="20" t="s">
        <v>224</v>
      </c>
      <c r="D87" s="20" t="s">
        <v>497</v>
      </c>
      <c r="E87" s="20"/>
      <c r="F87" s="22" t="s">
        <v>919</v>
      </c>
      <c r="G87" s="23" t="s">
        <v>997</v>
      </c>
      <c r="H87" s="57">
        <v>0</v>
      </c>
      <c r="I87" s="57">
        <v>0.73594000000000004</v>
      </c>
      <c r="J87" s="119">
        <v>-39725770.920000002</v>
      </c>
    </row>
    <row r="88" spans="1:10" x14ac:dyDescent="0.25">
      <c r="A88" s="20">
        <v>87</v>
      </c>
      <c r="B88" s="21">
        <v>45909</v>
      </c>
      <c r="C88" s="20" t="s">
        <v>224</v>
      </c>
      <c r="D88" s="20" t="s">
        <v>759</v>
      </c>
      <c r="E88" s="20"/>
      <c r="F88" s="22" t="s">
        <v>909</v>
      </c>
      <c r="G88" s="23" t="s">
        <v>998</v>
      </c>
      <c r="H88" s="57">
        <v>0.83</v>
      </c>
      <c r="I88" s="57">
        <v>0</v>
      </c>
      <c r="J88" s="119">
        <v>-39808770.920000002</v>
      </c>
    </row>
    <row r="89" spans="1:10" x14ac:dyDescent="0.25">
      <c r="A89" s="20">
        <v>88</v>
      </c>
      <c r="B89" s="21">
        <v>45909</v>
      </c>
      <c r="C89" s="20" t="s">
        <v>224</v>
      </c>
      <c r="D89" s="20" t="s">
        <v>91</v>
      </c>
      <c r="E89" s="20"/>
      <c r="F89" s="22" t="s">
        <v>884</v>
      </c>
      <c r="G89" s="23" t="s">
        <v>920</v>
      </c>
      <c r="H89" s="57">
        <v>0</v>
      </c>
      <c r="I89" s="57">
        <v>5.5</v>
      </c>
      <c r="J89" s="119">
        <v>-39258770.920000002</v>
      </c>
    </row>
    <row r="90" spans="1:10" ht="25.5" x14ac:dyDescent="0.25">
      <c r="A90" s="20">
        <v>89</v>
      </c>
      <c r="B90" s="21">
        <v>45909</v>
      </c>
      <c r="C90" s="20" t="s">
        <v>224</v>
      </c>
      <c r="D90" s="20" t="s">
        <v>759</v>
      </c>
      <c r="E90" s="20"/>
      <c r="F90" s="22" t="s">
        <v>800</v>
      </c>
      <c r="G90" s="23" t="s">
        <v>999</v>
      </c>
      <c r="H90" s="57">
        <v>5.5574300000000001</v>
      </c>
      <c r="I90" s="57">
        <v>0</v>
      </c>
      <c r="J90" s="119">
        <v>-39814513.920000002</v>
      </c>
    </row>
    <row r="91" spans="1:10" x14ac:dyDescent="0.25">
      <c r="A91" s="20">
        <v>90</v>
      </c>
      <c r="B91" s="21">
        <v>45909</v>
      </c>
      <c r="C91" s="20" t="s">
        <v>224</v>
      </c>
      <c r="D91" s="20" t="s">
        <v>759</v>
      </c>
      <c r="E91" s="20"/>
      <c r="F91" s="22" t="s">
        <v>896</v>
      </c>
      <c r="G91" s="23" t="s">
        <v>1000</v>
      </c>
      <c r="H91" s="57">
        <v>0.45</v>
      </c>
      <c r="I91" s="57">
        <v>0</v>
      </c>
      <c r="J91" s="119">
        <v>-39859513.920000002</v>
      </c>
    </row>
    <row r="92" spans="1:10" ht="25.5" x14ac:dyDescent="0.25">
      <c r="A92" s="20">
        <v>91</v>
      </c>
      <c r="B92" s="21">
        <v>45910</v>
      </c>
      <c r="C92" s="20" t="s">
        <v>224</v>
      </c>
      <c r="D92" s="23" t="s">
        <v>885</v>
      </c>
      <c r="E92" s="20"/>
      <c r="F92" s="22" t="s">
        <v>886</v>
      </c>
      <c r="G92" s="23" t="s">
        <v>1001</v>
      </c>
      <c r="H92" s="57">
        <v>0</v>
      </c>
      <c r="I92" s="57">
        <v>1</v>
      </c>
      <c r="J92" s="119">
        <v>-39759513.920000002</v>
      </c>
    </row>
    <row r="93" spans="1:10" x14ac:dyDescent="0.25">
      <c r="A93" s="20">
        <v>92</v>
      </c>
      <c r="B93" s="21">
        <v>45910</v>
      </c>
      <c r="C93" s="20" t="s">
        <v>224</v>
      </c>
      <c r="D93" s="20" t="s">
        <v>788</v>
      </c>
      <c r="E93" s="20"/>
      <c r="F93" s="22" t="s">
        <v>870</v>
      </c>
      <c r="G93" s="23" t="s">
        <v>1002</v>
      </c>
      <c r="H93" s="57">
        <v>0</v>
      </c>
      <c r="I93" s="57">
        <v>7.2776500000000004</v>
      </c>
      <c r="J93" s="119">
        <v>-39031748.920000002</v>
      </c>
    </row>
    <row r="94" spans="1:10" x14ac:dyDescent="0.25">
      <c r="A94" s="20">
        <v>93</v>
      </c>
      <c r="B94" s="21">
        <v>45910</v>
      </c>
      <c r="C94" s="20" t="s">
        <v>224</v>
      </c>
      <c r="D94" s="20" t="s">
        <v>788</v>
      </c>
      <c r="E94" s="20"/>
      <c r="F94" s="22" t="s">
        <v>870</v>
      </c>
      <c r="G94" s="23" t="s">
        <v>1003</v>
      </c>
      <c r="H94" s="57">
        <v>9.0514999999999998E-2</v>
      </c>
      <c r="I94" s="57">
        <v>0</v>
      </c>
      <c r="J94" s="119">
        <v>-39040800.420000002</v>
      </c>
    </row>
    <row r="95" spans="1:10" x14ac:dyDescent="0.25">
      <c r="A95" s="20">
        <v>94</v>
      </c>
      <c r="B95" s="21">
        <v>45910</v>
      </c>
      <c r="C95" s="20" t="s">
        <v>224</v>
      </c>
      <c r="D95" s="20" t="s">
        <v>788</v>
      </c>
      <c r="E95" s="20"/>
      <c r="F95" s="22" t="s">
        <v>870</v>
      </c>
      <c r="G95" s="23" t="s">
        <v>1004</v>
      </c>
      <c r="H95" s="57">
        <v>4.2564200000000003E-2</v>
      </c>
      <c r="I95" s="57">
        <v>0</v>
      </c>
      <c r="J95" s="119">
        <v>-39045056.840000004</v>
      </c>
    </row>
    <row r="96" spans="1:10" x14ac:dyDescent="0.25">
      <c r="A96" s="20">
        <v>95</v>
      </c>
      <c r="B96" s="21">
        <v>45910</v>
      </c>
      <c r="C96" s="20" t="s">
        <v>224</v>
      </c>
      <c r="D96" s="20" t="s">
        <v>788</v>
      </c>
      <c r="E96" s="20"/>
      <c r="F96" s="22" t="s">
        <v>870</v>
      </c>
      <c r="G96" s="23" t="s">
        <v>1005</v>
      </c>
      <c r="H96" s="57">
        <v>0</v>
      </c>
      <c r="I96" s="57">
        <v>3.2171500000000002</v>
      </c>
      <c r="J96" s="119">
        <v>-38723341.840000004</v>
      </c>
    </row>
    <row r="97" spans="1:10" x14ac:dyDescent="0.25">
      <c r="A97" s="20">
        <v>96</v>
      </c>
      <c r="B97" s="21">
        <v>45910</v>
      </c>
      <c r="C97" s="20" t="s">
        <v>224</v>
      </c>
      <c r="D97" s="20" t="s">
        <v>888</v>
      </c>
      <c r="E97" s="20"/>
      <c r="F97" s="22" t="s">
        <v>125</v>
      </c>
      <c r="G97" s="23" t="s">
        <v>1006</v>
      </c>
      <c r="H97" s="57">
        <v>0.97587999999999997</v>
      </c>
      <c r="I97" s="57">
        <v>0</v>
      </c>
      <c r="J97" s="119">
        <v>-38820929.840000004</v>
      </c>
    </row>
    <row r="98" spans="1:10" ht="25.5" x14ac:dyDescent="0.25">
      <c r="A98" s="20">
        <v>97</v>
      </c>
      <c r="B98" s="21">
        <v>45910</v>
      </c>
      <c r="C98" s="20" t="s">
        <v>224</v>
      </c>
      <c r="D98" s="20" t="s">
        <v>759</v>
      </c>
      <c r="E98" s="20"/>
      <c r="F98" s="22" t="s">
        <v>789</v>
      </c>
      <c r="G98" s="23" t="s">
        <v>1007</v>
      </c>
      <c r="H98" s="57">
        <v>3.6076700000000003E-2</v>
      </c>
      <c r="I98" s="57">
        <v>0</v>
      </c>
      <c r="J98" s="119">
        <v>-38824537.509999998</v>
      </c>
    </row>
    <row r="99" spans="1:10" x14ac:dyDescent="0.25">
      <c r="A99" s="20">
        <v>98</v>
      </c>
      <c r="B99" s="21">
        <v>45910</v>
      </c>
      <c r="C99" s="20" t="s">
        <v>224</v>
      </c>
      <c r="D99" s="20" t="s">
        <v>888</v>
      </c>
      <c r="E99" s="20"/>
      <c r="F99" s="22" t="s">
        <v>891</v>
      </c>
      <c r="G99" s="23" t="s">
        <v>1008</v>
      </c>
      <c r="H99" s="57">
        <v>0.25</v>
      </c>
      <c r="I99" s="57">
        <v>0</v>
      </c>
      <c r="J99" s="119">
        <v>-38849537.509999998</v>
      </c>
    </row>
    <row r="100" spans="1:10" x14ac:dyDescent="0.25">
      <c r="A100" s="20">
        <v>99</v>
      </c>
      <c r="B100" s="21">
        <v>45910</v>
      </c>
      <c r="C100" s="20" t="s">
        <v>224</v>
      </c>
      <c r="D100" s="20" t="s">
        <v>759</v>
      </c>
      <c r="E100" s="20"/>
      <c r="F100" s="22" t="s">
        <v>901</v>
      </c>
      <c r="G100" s="23" t="s">
        <v>1009</v>
      </c>
      <c r="H100" s="57">
        <v>0.2</v>
      </c>
      <c r="I100" s="57">
        <v>0</v>
      </c>
      <c r="J100" s="119">
        <v>-38869537.509999998</v>
      </c>
    </row>
    <row r="101" spans="1:10" x14ac:dyDescent="0.25">
      <c r="A101" s="20">
        <v>100</v>
      </c>
      <c r="B101" s="21">
        <v>45910</v>
      </c>
      <c r="C101" s="20" t="s">
        <v>224</v>
      </c>
      <c r="D101" s="20" t="s">
        <v>91</v>
      </c>
      <c r="E101" s="20"/>
      <c r="F101" s="22" t="s">
        <v>884</v>
      </c>
      <c r="G101" s="23" t="s">
        <v>1010</v>
      </c>
      <c r="H101" s="57">
        <v>8</v>
      </c>
      <c r="I101" s="57">
        <v>0</v>
      </c>
      <c r="J101" s="119">
        <v>-39669537.509999998</v>
      </c>
    </row>
    <row r="102" spans="1:10" x14ac:dyDescent="0.25">
      <c r="A102" s="20">
        <v>101</v>
      </c>
      <c r="B102" s="21">
        <v>45910</v>
      </c>
      <c r="C102" s="20" t="s">
        <v>224</v>
      </c>
      <c r="D102" s="20" t="s">
        <v>91</v>
      </c>
      <c r="E102" s="20"/>
      <c r="F102" s="22" t="s">
        <v>884</v>
      </c>
      <c r="G102" s="23" t="s">
        <v>959</v>
      </c>
      <c r="H102" s="57">
        <v>0</v>
      </c>
      <c r="I102" s="57">
        <v>5</v>
      </c>
      <c r="J102" s="119">
        <v>-39169537.509999998</v>
      </c>
    </row>
    <row r="103" spans="1:10" ht="25.5" x14ac:dyDescent="0.25">
      <c r="A103" s="20">
        <v>102</v>
      </c>
      <c r="B103" s="21">
        <v>45910</v>
      </c>
      <c r="C103" s="20" t="s">
        <v>224</v>
      </c>
      <c r="D103" s="23" t="s">
        <v>885</v>
      </c>
      <c r="E103" s="20"/>
      <c r="F103" s="22" t="s">
        <v>886</v>
      </c>
      <c r="G103" s="23" t="s">
        <v>1011</v>
      </c>
      <c r="H103" s="57">
        <v>5</v>
      </c>
      <c r="I103" s="57">
        <v>0</v>
      </c>
      <c r="J103" s="119">
        <v>-39669537.509999998</v>
      </c>
    </row>
    <row r="104" spans="1:10" x14ac:dyDescent="0.25">
      <c r="A104" s="20">
        <v>103</v>
      </c>
      <c r="B104" s="21">
        <v>45910</v>
      </c>
      <c r="C104" s="20" t="s">
        <v>224</v>
      </c>
      <c r="D104" s="20" t="s">
        <v>140</v>
      </c>
      <c r="E104" s="20"/>
      <c r="F104" s="22" t="s">
        <v>141</v>
      </c>
      <c r="G104" s="23" t="s">
        <v>1012</v>
      </c>
      <c r="H104" s="57">
        <v>1.5</v>
      </c>
      <c r="I104" s="57">
        <v>0</v>
      </c>
      <c r="J104" s="119">
        <v>-39819537.509999998</v>
      </c>
    </row>
    <row r="105" spans="1:10" x14ac:dyDescent="0.25">
      <c r="A105" s="20">
        <v>104</v>
      </c>
      <c r="B105" s="21">
        <v>45912</v>
      </c>
      <c r="C105" s="20" t="s">
        <v>224</v>
      </c>
      <c r="D105" s="20" t="s">
        <v>497</v>
      </c>
      <c r="E105" s="20"/>
      <c r="F105" s="22" t="s">
        <v>895</v>
      </c>
      <c r="G105" s="23" t="s">
        <v>1013</v>
      </c>
      <c r="H105" s="57">
        <v>0</v>
      </c>
      <c r="I105" s="57">
        <v>100</v>
      </c>
      <c r="J105" s="119">
        <v>-29819537.510000002</v>
      </c>
    </row>
    <row r="106" spans="1:10" ht="25.5" x14ac:dyDescent="0.25">
      <c r="A106" s="20">
        <v>105</v>
      </c>
      <c r="B106" s="21">
        <v>45912</v>
      </c>
      <c r="C106" s="20" t="s">
        <v>224</v>
      </c>
      <c r="D106" s="20" t="s">
        <v>759</v>
      </c>
      <c r="E106" s="20"/>
      <c r="F106" s="22" t="s">
        <v>897</v>
      </c>
      <c r="G106" s="23" t="s">
        <v>1014</v>
      </c>
      <c r="H106" s="57">
        <v>3.46</v>
      </c>
      <c r="I106" s="57">
        <v>0</v>
      </c>
      <c r="J106" s="119">
        <v>-30165537.510000002</v>
      </c>
    </row>
    <row r="107" spans="1:10" ht="25.5" x14ac:dyDescent="0.25">
      <c r="A107" s="20">
        <v>106</v>
      </c>
      <c r="B107" s="21">
        <v>45912</v>
      </c>
      <c r="C107" s="20" t="s">
        <v>224</v>
      </c>
      <c r="D107" s="20" t="s">
        <v>759</v>
      </c>
      <c r="E107" s="20"/>
      <c r="F107" s="22" t="s">
        <v>906</v>
      </c>
      <c r="G107" s="23" t="s">
        <v>1015</v>
      </c>
      <c r="H107" s="57">
        <v>3.3759999999999999</v>
      </c>
      <c r="I107" s="57">
        <v>0</v>
      </c>
      <c r="J107" s="119">
        <v>-30503137.510000002</v>
      </c>
    </row>
    <row r="108" spans="1:10" ht="25.5" x14ac:dyDescent="0.25">
      <c r="A108" s="20">
        <v>107</v>
      </c>
      <c r="B108" s="21">
        <v>45912</v>
      </c>
      <c r="C108" s="20" t="s">
        <v>224</v>
      </c>
      <c r="D108" s="23" t="s">
        <v>885</v>
      </c>
      <c r="E108" s="20"/>
      <c r="F108" s="22" t="s">
        <v>886</v>
      </c>
      <c r="G108" s="23" t="s">
        <v>1016</v>
      </c>
      <c r="H108" s="57">
        <v>85</v>
      </c>
      <c r="I108" s="57">
        <v>0</v>
      </c>
      <c r="J108" s="119">
        <v>-39003137.509999998</v>
      </c>
    </row>
    <row r="109" spans="1:10" x14ac:dyDescent="0.25">
      <c r="A109" s="20">
        <v>108</v>
      </c>
      <c r="B109" s="21">
        <v>45915</v>
      </c>
      <c r="C109" s="20" t="s">
        <v>224</v>
      </c>
      <c r="D109" s="20" t="s">
        <v>759</v>
      </c>
      <c r="E109" s="20"/>
      <c r="F109" s="22" t="s">
        <v>770</v>
      </c>
      <c r="G109" s="23" t="s">
        <v>1017</v>
      </c>
      <c r="H109" s="57">
        <v>0.8</v>
      </c>
      <c r="I109" s="57">
        <v>0</v>
      </c>
      <c r="J109" s="119">
        <v>-39083137.509999998</v>
      </c>
    </row>
    <row r="110" spans="1:10" x14ac:dyDescent="0.25">
      <c r="A110" s="20">
        <v>109</v>
      </c>
      <c r="B110" s="21">
        <v>45915</v>
      </c>
      <c r="C110" s="20" t="s">
        <v>224</v>
      </c>
      <c r="D110" s="20" t="s">
        <v>91</v>
      </c>
      <c r="E110" s="20"/>
      <c r="F110" s="22" t="s">
        <v>884</v>
      </c>
      <c r="G110" s="23" t="s">
        <v>1018</v>
      </c>
      <c r="H110" s="57">
        <v>8</v>
      </c>
      <c r="I110" s="57">
        <v>0</v>
      </c>
      <c r="J110" s="119">
        <v>-39883137.509999998</v>
      </c>
    </row>
    <row r="111" spans="1:10" ht="25.5" x14ac:dyDescent="0.25">
      <c r="A111" s="20">
        <v>110</v>
      </c>
      <c r="B111" s="21">
        <v>45915</v>
      </c>
      <c r="C111" s="20" t="s">
        <v>224</v>
      </c>
      <c r="D111" s="20" t="s">
        <v>759</v>
      </c>
      <c r="E111" s="20"/>
      <c r="F111" s="22" t="s">
        <v>906</v>
      </c>
      <c r="G111" s="23" t="s">
        <v>1019</v>
      </c>
      <c r="H111" s="57">
        <v>0.4</v>
      </c>
      <c r="I111" s="57">
        <v>0</v>
      </c>
      <c r="J111" s="119">
        <v>-39923137.509999998</v>
      </c>
    </row>
    <row r="112" spans="1:10" x14ac:dyDescent="0.25">
      <c r="A112" s="20">
        <v>111</v>
      </c>
      <c r="B112" s="21">
        <v>45915</v>
      </c>
      <c r="C112" s="20" t="s">
        <v>224</v>
      </c>
      <c r="D112" s="22" t="s">
        <v>469</v>
      </c>
      <c r="E112" s="20"/>
      <c r="F112" s="22" t="s">
        <v>469</v>
      </c>
      <c r="G112" s="23" t="s">
        <v>1020</v>
      </c>
      <c r="H112" s="57">
        <v>0.42482999999999999</v>
      </c>
      <c r="I112" s="57">
        <v>0</v>
      </c>
      <c r="J112" s="119">
        <v>-39965620.509999998</v>
      </c>
    </row>
    <row r="113" spans="1:10" x14ac:dyDescent="0.25">
      <c r="A113" s="20">
        <v>112</v>
      </c>
      <c r="B113" s="21">
        <v>45916</v>
      </c>
      <c r="C113" s="20" t="s">
        <v>224</v>
      </c>
      <c r="D113" s="20" t="s">
        <v>91</v>
      </c>
      <c r="E113" s="20"/>
      <c r="F113" s="22" t="s">
        <v>884</v>
      </c>
      <c r="G113" s="23" t="s">
        <v>920</v>
      </c>
      <c r="H113" s="57">
        <v>0</v>
      </c>
      <c r="I113" s="57">
        <v>25</v>
      </c>
      <c r="J113" s="119">
        <v>-37465620.509999998</v>
      </c>
    </row>
    <row r="114" spans="1:10" ht="25.5" x14ac:dyDescent="0.25">
      <c r="A114" s="20">
        <v>113</v>
      </c>
      <c r="B114" s="21">
        <v>45916</v>
      </c>
      <c r="C114" s="20" t="s">
        <v>224</v>
      </c>
      <c r="D114" s="23" t="s">
        <v>885</v>
      </c>
      <c r="E114" s="20"/>
      <c r="F114" s="22" t="s">
        <v>886</v>
      </c>
      <c r="G114" s="23" t="s">
        <v>1021</v>
      </c>
      <c r="H114" s="57">
        <v>25</v>
      </c>
      <c r="I114" s="57">
        <v>0</v>
      </c>
      <c r="J114" s="119">
        <v>-39965620.509999998</v>
      </c>
    </row>
    <row r="115" spans="1:10" x14ac:dyDescent="0.25">
      <c r="A115" s="20">
        <v>114</v>
      </c>
      <c r="B115" s="21">
        <v>45916</v>
      </c>
      <c r="C115" s="20" t="s">
        <v>224</v>
      </c>
      <c r="D115" s="20" t="s">
        <v>91</v>
      </c>
      <c r="E115" s="20"/>
      <c r="F115" s="22" t="s">
        <v>884</v>
      </c>
      <c r="G115" s="23" t="s">
        <v>920</v>
      </c>
      <c r="H115" s="57">
        <v>0</v>
      </c>
      <c r="I115" s="57">
        <v>1</v>
      </c>
      <c r="J115" s="119">
        <v>-39865620.509999998</v>
      </c>
    </row>
    <row r="116" spans="1:10" ht="25.5" x14ac:dyDescent="0.25">
      <c r="A116" s="20">
        <v>115</v>
      </c>
      <c r="B116" s="21">
        <v>45916</v>
      </c>
      <c r="C116" s="20" t="s">
        <v>224</v>
      </c>
      <c r="D116" s="20" t="s">
        <v>759</v>
      </c>
      <c r="E116" s="20"/>
      <c r="F116" s="22" t="s">
        <v>909</v>
      </c>
      <c r="G116" s="23" t="s">
        <v>1022</v>
      </c>
      <c r="H116" s="57">
        <v>0.6</v>
      </c>
      <c r="I116" s="57">
        <v>0</v>
      </c>
      <c r="J116" s="119">
        <v>-39925620.509999998</v>
      </c>
    </row>
    <row r="117" spans="1:10" ht="25.5" x14ac:dyDescent="0.25">
      <c r="A117" s="20">
        <v>116</v>
      </c>
      <c r="B117" s="21">
        <v>45917</v>
      </c>
      <c r="C117" s="20" t="s">
        <v>224</v>
      </c>
      <c r="D117" s="23" t="s">
        <v>885</v>
      </c>
      <c r="E117" s="20"/>
      <c r="F117" s="22" t="s">
        <v>886</v>
      </c>
      <c r="G117" s="23" t="s">
        <v>1001</v>
      </c>
      <c r="H117" s="57">
        <v>0</v>
      </c>
      <c r="I117" s="57">
        <v>6</v>
      </c>
      <c r="J117" s="119">
        <v>-39325620.509999998</v>
      </c>
    </row>
    <row r="118" spans="1:10" x14ac:dyDescent="0.25">
      <c r="A118" s="20">
        <v>117</v>
      </c>
      <c r="B118" s="21">
        <v>45917</v>
      </c>
      <c r="C118" s="20" t="s">
        <v>224</v>
      </c>
      <c r="D118" s="20" t="s">
        <v>91</v>
      </c>
      <c r="E118" s="20"/>
      <c r="F118" s="22" t="s">
        <v>884</v>
      </c>
      <c r="G118" s="23" t="s">
        <v>1023</v>
      </c>
      <c r="H118" s="57">
        <v>6.5</v>
      </c>
      <c r="I118" s="57">
        <v>0</v>
      </c>
      <c r="J118" s="119">
        <v>-39975620.509999998</v>
      </c>
    </row>
    <row r="119" spans="1:10" x14ac:dyDescent="0.25">
      <c r="A119" s="20">
        <v>118</v>
      </c>
      <c r="B119" s="21">
        <v>45919</v>
      </c>
      <c r="C119" s="20" t="s">
        <v>224</v>
      </c>
      <c r="D119" s="20" t="s">
        <v>91</v>
      </c>
      <c r="E119" s="20"/>
      <c r="F119" s="22" t="s">
        <v>884</v>
      </c>
      <c r="G119" s="23" t="s">
        <v>920</v>
      </c>
      <c r="H119" s="57">
        <v>0</v>
      </c>
      <c r="I119" s="57">
        <v>1</v>
      </c>
      <c r="J119" s="119">
        <v>-39875620.509999998</v>
      </c>
    </row>
    <row r="120" spans="1:10" ht="25.5" x14ac:dyDescent="0.25">
      <c r="A120" s="20">
        <v>119</v>
      </c>
      <c r="B120" s="21">
        <v>45919</v>
      </c>
      <c r="C120" s="20" t="s">
        <v>224</v>
      </c>
      <c r="D120" s="20" t="s">
        <v>759</v>
      </c>
      <c r="E120" s="20"/>
      <c r="F120" s="22" t="s">
        <v>913</v>
      </c>
      <c r="G120" s="23" t="s">
        <v>1024</v>
      </c>
      <c r="H120" s="57">
        <v>0.17818000000000001</v>
      </c>
      <c r="I120" s="57">
        <v>0</v>
      </c>
      <c r="J120" s="119">
        <v>-39893438.509999998</v>
      </c>
    </row>
    <row r="121" spans="1:10" x14ac:dyDescent="0.25">
      <c r="A121" s="20">
        <v>120</v>
      </c>
      <c r="B121" s="21">
        <v>45919</v>
      </c>
      <c r="C121" s="20" t="s">
        <v>224</v>
      </c>
      <c r="D121" s="20" t="s">
        <v>888</v>
      </c>
      <c r="E121" s="20"/>
      <c r="F121" s="22" t="s">
        <v>125</v>
      </c>
      <c r="G121" s="23" t="s">
        <v>1025</v>
      </c>
      <c r="H121" s="57">
        <v>0.57318000000000002</v>
      </c>
      <c r="I121" s="57">
        <v>0</v>
      </c>
      <c r="J121" s="119">
        <v>-39950756.509999998</v>
      </c>
    </row>
    <row r="122" spans="1:10" x14ac:dyDescent="0.25">
      <c r="A122" s="20">
        <v>121</v>
      </c>
      <c r="B122" s="21">
        <v>45919</v>
      </c>
      <c r="C122" s="20" t="s">
        <v>224</v>
      </c>
      <c r="D122" s="20" t="s">
        <v>759</v>
      </c>
      <c r="E122" s="20"/>
      <c r="F122" s="22" t="s">
        <v>911</v>
      </c>
      <c r="G122" s="23" t="s">
        <v>1026</v>
      </c>
      <c r="H122" s="57">
        <v>0.25</v>
      </c>
      <c r="I122" s="57">
        <v>0</v>
      </c>
      <c r="J122" s="119">
        <v>-39975756.509999998</v>
      </c>
    </row>
    <row r="123" spans="1:10" x14ac:dyDescent="0.25">
      <c r="A123" s="20">
        <v>122</v>
      </c>
      <c r="B123" s="21">
        <v>45919</v>
      </c>
      <c r="C123" s="20" t="s">
        <v>224</v>
      </c>
      <c r="D123" s="20" t="s">
        <v>91</v>
      </c>
      <c r="E123" s="20"/>
      <c r="F123" s="22" t="s">
        <v>884</v>
      </c>
      <c r="G123" s="23" t="s">
        <v>920</v>
      </c>
      <c r="H123" s="57">
        <v>0</v>
      </c>
      <c r="I123" s="57">
        <v>0.5</v>
      </c>
      <c r="J123" s="119">
        <v>-39925756.509999998</v>
      </c>
    </row>
    <row r="124" spans="1:10" x14ac:dyDescent="0.25">
      <c r="A124" s="20">
        <v>123</v>
      </c>
      <c r="B124" s="21">
        <v>45919</v>
      </c>
      <c r="C124" s="20" t="s">
        <v>224</v>
      </c>
      <c r="D124" s="20" t="s">
        <v>140</v>
      </c>
      <c r="E124" s="20"/>
      <c r="F124" s="22" t="s">
        <v>141</v>
      </c>
      <c r="G124" s="23" t="s">
        <v>1027</v>
      </c>
      <c r="H124" s="57">
        <v>0.5</v>
      </c>
      <c r="I124" s="57">
        <v>0</v>
      </c>
      <c r="J124" s="119">
        <v>-39975756.509999998</v>
      </c>
    </row>
    <row r="125" spans="1:10" x14ac:dyDescent="0.25">
      <c r="A125" s="20">
        <v>124</v>
      </c>
      <c r="B125" s="21">
        <v>45920</v>
      </c>
      <c r="C125" s="20" t="s">
        <v>224</v>
      </c>
      <c r="D125" s="20" t="s">
        <v>91</v>
      </c>
      <c r="E125" s="20"/>
      <c r="F125" s="22" t="s">
        <v>884</v>
      </c>
      <c r="G125" s="23" t="s">
        <v>920</v>
      </c>
      <c r="H125" s="57">
        <v>0</v>
      </c>
      <c r="I125" s="57">
        <v>2</v>
      </c>
      <c r="J125" s="119">
        <v>-39775756.509999998</v>
      </c>
    </row>
    <row r="126" spans="1:10" ht="25.5" x14ac:dyDescent="0.25">
      <c r="A126" s="20">
        <v>125</v>
      </c>
      <c r="B126" s="21">
        <v>45920</v>
      </c>
      <c r="C126" s="20" t="s">
        <v>224</v>
      </c>
      <c r="D126" s="23" t="s">
        <v>885</v>
      </c>
      <c r="E126" s="20"/>
      <c r="F126" s="22" t="s">
        <v>886</v>
      </c>
      <c r="G126" s="23" t="s">
        <v>1028</v>
      </c>
      <c r="H126" s="57">
        <v>1</v>
      </c>
      <c r="I126" s="57">
        <v>0</v>
      </c>
      <c r="J126" s="119">
        <v>-39875756.509999998</v>
      </c>
    </row>
    <row r="127" spans="1:10" ht="25.5" x14ac:dyDescent="0.25">
      <c r="A127" s="20">
        <v>126</v>
      </c>
      <c r="B127" s="21">
        <v>45920</v>
      </c>
      <c r="C127" s="20" t="s">
        <v>224</v>
      </c>
      <c r="D127" s="20" t="s">
        <v>759</v>
      </c>
      <c r="E127" s="20"/>
      <c r="F127" s="22" t="s">
        <v>779</v>
      </c>
      <c r="G127" s="23" t="s">
        <v>1029</v>
      </c>
      <c r="H127" s="57">
        <v>0.85</v>
      </c>
      <c r="I127" s="57">
        <v>0</v>
      </c>
      <c r="J127" s="119">
        <v>-39960756.509999998</v>
      </c>
    </row>
    <row r="128" spans="1:10" x14ac:dyDescent="0.25">
      <c r="A128" s="20">
        <v>127</v>
      </c>
      <c r="B128" s="21">
        <v>45920</v>
      </c>
      <c r="C128" s="20" t="s">
        <v>224</v>
      </c>
      <c r="D128" s="20" t="s">
        <v>759</v>
      </c>
      <c r="E128" s="20"/>
      <c r="F128" s="22" t="s">
        <v>911</v>
      </c>
      <c r="G128" s="23" t="s">
        <v>1026</v>
      </c>
      <c r="H128" s="57">
        <v>0.25</v>
      </c>
      <c r="I128" s="57">
        <v>0</v>
      </c>
      <c r="J128" s="119">
        <v>-39985756.509999998</v>
      </c>
    </row>
    <row r="129" spans="1:10" ht="25.5" x14ac:dyDescent="0.25">
      <c r="A129" s="20">
        <v>128</v>
      </c>
      <c r="B129" s="21">
        <v>45922</v>
      </c>
      <c r="C129" s="20" t="s">
        <v>224</v>
      </c>
      <c r="D129" s="20" t="s">
        <v>759</v>
      </c>
      <c r="E129" s="20"/>
      <c r="F129" s="22" t="s">
        <v>904</v>
      </c>
      <c r="G129" s="23" t="s">
        <v>1030</v>
      </c>
      <c r="H129" s="57">
        <v>4.2979999999999997E-2</v>
      </c>
      <c r="I129" s="57">
        <v>0</v>
      </c>
      <c r="J129" s="119">
        <v>-39990054.509999998</v>
      </c>
    </row>
    <row r="130" spans="1:10" x14ac:dyDescent="0.25">
      <c r="A130" s="20">
        <v>129</v>
      </c>
      <c r="B130" s="21">
        <v>45922</v>
      </c>
      <c r="C130" s="20" t="s">
        <v>224</v>
      </c>
      <c r="D130" s="20" t="s">
        <v>91</v>
      </c>
      <c r="E130" s="20"/>
      <c r="F130" s="22" t="s">
        <v>884</v>
      </c>
      <c r="G130" s="23" t="s">
        <v>920</v>
      </c>
      <c r="H130" s="57">
        <v>0</v>
      </c>
      <c r="I130" s="57">
        <v>1</v>
      </c>
      <c r="J130" s="119">
        <v>-39890054.509999998</v>
      </c>
    </row>
    <row r="131" spans="1:10" ht="25.5" x14ac:dyDescent="0.25">
      <c r="A131" s="20">
        <v>130</v>
      </c>
      <c r="B131" s="21">
        <v>45922</v>
      </c>
      <c r="C131" s="20" t="s">
        <v>224</v>
      </c>
      <c r="D131" s="20" t="s">
        <v>759</v>
      </c>
      <c r="E131" s="20"/>
      <c r="F131" s="22" t="s">
        <v>910</v>
      </c>
      <c r="G131" s="23" t="s">
        <v>1031</v>
      </c>
      <c r="H131" s="57">
        <v>0.70150000000000001</v>
      </c>
      <c r="I131" s="57">
        <v>0</v>
      </c>
      <c r="J131" s="119">
        <v>-39960204.509999998</v>
      </c>
    </row>
    <row r="132" spans="1:10" x14ac:dyDescent="0.25">
      <c r="A132" s="20">
        <v>131</v>
      </c>
      <c r="B132" s="21">
        <v>45923</v>
      </c>
      <c r="C132" s="20" t="s">
        <v>224</v>
      </c>
      <c r="D132" s="20" t="s">
        <v>497</v>
      </c>
      <c r="E132" s="20"/>
      <c r="F132" s="22" t="s">
        <v>895</v>
      </c>
      <c r="G132" s="23" t="s">
        <v>1032</v>
      </c>
      <c r="H132" s="57">
        <v>0</v>
      </c>
      <c r="I132" s="57">
        <v>10</v>
      </c>
      <c r="J132" s="119">
        <v>-38960204.509999998</v>
      </c>
    </row>
    <row r="133" spans="1:10" ht="25.5" x14ac:dyDescent="0.25">
      <c r="A133" s="20">
        <v>132</v>
      </c>
      <c r="B133" s="21">
        <v>45923</v>
      </c>
      <c r="C133" s="20" t="s">
        <v>224</v>
      </c>
      <c r="D133" s="23" t="s">
        <v>885</v>
      </c>
      <c r="E133" s="20"/>
      <c r="F133" s="22" t="s">
        <v>886</v>
      </c>
      <c r="G133" s="23" t="s">
        <v>1033</v>
      </c>
      <c r="H133" s="57">
        <v>3</v>
      </c>
      <c r="I133" s="57">
        <v>0</v>
      </c>
      <c r="J133" s="119">
        <v>-39260204.509999998</v>
      </c>
    </row>
    <row r="134" spans="1:10" x14ac:dyDescent="0.25">
      <c r="A134" s="20">
        <v>133</v>
      </c>
      <c r="B134" s="21">
        <v>45923</v>
      </c>
      <c r="C134" s="20" t="s">
        <v>224</v>
      </c>
      <c r="D134" s="20" t="s">
        <v>497</v>
      </c>
      <c r="E134" s="20"/>
      <c r="F134" s="22" t="s">
        <v>918</v>
      </c>
      <c r="G134" s="23" t="s">
        <v>1034</v>
      </c>
      <c r="H134" s="57">
        <v>0</v>
      </c>
      <c r="I134" s="57">
        <v>6</v>
      </c>
      <c r="J134" s="119">
        <v>-38660204.509999998</v>
      </c>
    </row>
    <row r="135" spans="1:10" x14ac:dyDescent="0.25">
      <c r="A135" s="20">
        <v>134</v>
      </c>
      <c r="B135" s="21">
        <v>45924</v>
      </c>
      <c r="C135" s="20" t="s">
        <v>224</v>
      </c>
      <c r="D135" s="20" t="s">
        <v>91</v>
      </c>
      <c r="E135" s="20"/>
      <c r="F135" s="22" t="s">
        <v>884</v>
      </c>
      <c r="G135" s="23" t="s">
        <v>1035</v>
      </c>
      <c r="H135" s="57">
        <v>10</v>
      </c>
      <c r="I135" s="57">
        <v>0</v>
      </c>
      <c r="J135" s="119">
        <v>-39660204.509999998</v>
      </c>
    </row>
    <row r="136" spans="1:10" x14ac:dyDescent="0.25">
      <c r="A136" s="20">
        <v>135</v>
      </c>
      <c r="B136" s="21">
        <v>45924</v>
      </c>
      <c r="C136" s="20" t="s">
        <v>224</v>
      </c>
      <c r="D136" s="20" t="s">
        <v>497</v>
      </c>
      <c r="E136" s="20"/>
      <c r="F136" s="22" t="s">
        <v>918</v>
      </c>
      <c r="G136" s="23" t="s">
        <v>1036</v>
      </c>
      <c r="H136" s="57">
        <v>0</v>
      </c>
      <c r="I136" s="57">
        <v>4</v>
      </c>
      <c r="J136" s="119">
        <v>-39260204.509999998</v>
      </c>
    </row>
    <row r="137" spans="1:10" x14ac:dyDescent="0.25">
      <c r="A137" s="20">
        <v>136</v>
      </c>
      <c r="B137" s="21">
        <v>45925</v>
      </c>
      <c r="C137" s="20" t="s">
        <v>224</v>
      </c>
      <c r="D137" s="20" t="s">
        <v>91</v>
      </c>
      <c r="E137" s="20"/>
      <c r="F137" s="22" t="s">
        <v>884</v>
      </c>
      <c r="G137" s="23" t="s">
        <v>1010</v>
      </c>
      <c r="H137" s="57">
        <v>5</v>
      </c>
      <c r="I137" s="57">
        <v>0</v>
      </c>
      <c r="J137" s="119">
        <v>-39760204.509999998</v>
      </c>
    </row>
    <row r="138" spans="1:10" x14ac:dyDescent="0.25">
      <c r="A138" s="20">
        <v>137</v>
      </c>
      <c r="B138" s="21">
        <v>45926</v>
      </c>
      <c r="C138" s="20" t="s">
        <v>224</v>
      </c>
      <c r="D138" s="20" t="s">
        <v>497</v>
      </c>
      <c r="E138" s="20"/>
      <c r="F138" s="22" t="s">
        <v>895</v>
      </c>
      <c r="G138" s="23" t="s">
        <v>1037</v>
      </c>
      <c r="H138" s="57">
        <v>0</v>
      </c>
      <c r="I138" s="57">
        <v>8</v>
      </c>
      <c r="J138" s="119">
        <v>-38960204.509999998</v>
      </c>
    </row>
    <row r="139" spans="1:10" x14ac:dyDescent="0.25">
      <c r="A139" s="20">
        <v>138</v>
      </c>
      <c r="B139" s="21">
        <v>45926</v>
      </c>
      <c r="C139" s="20" t="s">
        <v>224</v>
      </c>
      <c r="D139" s="20" t="s">
        <v>759</v>
      </c>
      <c r="E139" s="20"/>
      <c r="F139" s="22" t="s">
        <v>911</v>
      </c>
      <c r="G139" s="23" t="s">
        <v>1038</v>
      </c>
      <c r="H139" s="57">
        <v>1.23</v>
      </c>
      <c r="I139" s="57">
        <v>0</v>
      </c>
      <c r="J139" s="119">
        <v>-39083204.509999998</v>
      </c>
    </row>
    <row r="140" spans="1:10" ht="25.5" x14ac:dyDescent="0.25">
      <c r="A140" s="20">
        <v>139</v>
      </c>
      <c r="B140" s="21">
        <v>45926</v>
      </c>
      <c r="C140" s="20" t="s">
        <v>224</v>
      </c>
      <c r="D140" s="23" t="s">
        <v>885</v>
      </c>
      <c r="E140" s="20"/>
      <c r="F140" s="22" t="s">
        <v>886</v>
      </c>
      <c r="G140" s="23" t="s">
        <v>1039</v>
      </c>
      <c r="H140" s="57">
        <v>5</v>
      </c>
      <c r="I140" s="57">
        <v>0</v>
      </c>
      <c r="J140" s="119">
        <v>-39583204.509999998</v>
      </c>
    </row>
    <row r="141" spans="1:10" ht="25.5" x14ac:dyDescent="0.25">
      <c r="A141" s="20">
        <v>140</v>
      </c>
      <c r="B141" s="21">
        <v>45926</v>
      </c>
      <c r="C141" s="20" t="s">
        <v>224</v>
      </c>
      <c r="D141" s="23" t="s">
        <v>885</v>
      </c>
      <c r="E141" s="20"/>
      <c r="F141" s="22" t="s">
        <v>886</v>
      </c>
      <c r="G141" s="23" t="s">
        <v>1040</v>
      </c>
      <c r="H141" s="57">
        <v>3</v>
      </c>
      <c r="I141" s="57">
        <v>0</v>
      </c>
      <c r="J141" s="119">
        <v>-39883204.509999998</v>
      </c>
    </row>
    <row r="142" spans="1:10" x14ac:dyDescent="0.25">
      <c r="A142" s="20">
        <v>141</v>
      </c>
      <c r="B142" s="21">
        <v>45929</v>
      </c>
      <c r="C142" s="20" t="s">
        <v>224</v>
      </c>
      <c r="D142" s="20" t="s">
        <v>888</v>
      </c>
      <c r="E142" s="20"/>
      <c r="F142" s="22" t="s">
        <v>298</v>
      </c>
      <c r="G142" s="23" t="s">
        <v>1041</v>
      </c>
      <c r="H142" s="57">
        <v>2.3600000000000001E-3</v>
      </c>
      <c r="I142" s="57">
        <v>0</v>
      </c>
      <c r="J142" s="119">
        <v>-39883440.509999998</v>
      </c>
    </row>
    <row r="143" spans="1:10" x14ac:dyDescent="0.25">
      <c r="A143" s="20">
        <v>142</v>
      </c>
      <c r="B143" s="21">
        <v>45929</v>
      </c>
      <c r="C143" s="20" t="s">
        <v>224</v>
      </c>
      <c r="D143" s="20" t="s">
        <v>91</v>
      </c>
      <c r="E143" s="20"/>
      <c r="F143" s="22" t="s">
        <v>884</v>
      </c>
      <c r="G143" s="23" t="s">
        <v>920</v>
      </c>
      <c r="H143" s="57">
        <v>0</v>
      </c>
      <c r="I143" s="57">
        <v>10</v>
      </c>
      <c r="J143" s="119">
        <v>-38883440.509999998</v>
      </c>
    </row>
    <row r="144" spans="1:10" ht="25.5" x14ac:dyDescent="0.25">
      <c r="A144" s="20">
        <v>143</v>
      </c>
      <c r="B144" s="21">
        <v>45929</v>
      </c>
      <c r="C144" s="20" t="s">
        <v>224</v>
      </c>
      <c r="D144" s="23" t="s">
        <v>885</v>
      </c>
      <c r="E144" s="20"/>
      <c r="F144" s="22" t="s">
        <v>886</v>
      </c>
      <c r="G144" s="23" t="s">
        <v>1042</v>
      </c>
      <c r="H144" s="57">
        <v>10</v>
      </c>
      <c r="I144" s="57">
        <v>0</v>
      </c>
      <c r="J144" s="119">
        <v>-39883440.509999998</v>
      </c>
    </row>
    <row r="145" spans="1:10" x14ac:dyDescent="0.25">
      <c r="A145" s="20">
        <v>144</v>
      </c>
      <c r="B145" s="21">
        <v>45930</v>
      </c>
      <c r="C145" s="20" t="s">
        <v>224</v>
      </c>
      <c r="D145" s="20" t="s">
        <v>91</v>
      </c>
      <c r="E145" s="20"/>
      <c r="F145" s="22" t="s">
        <v>884</v>
      </c>
      <c r="G145" s="23" t="s">
        <v>920</v>
      </c>
      <c r="H145" s="57">
        <v>0</v>
      </c>
      <c r="I145" s="57">
        <v>5</v>
      </c>
      <c r="J145" s="119">
        <v>-39383440.509999998</v>
      </c>
    </row>
    <row r="146" spans="1:10" x14ac:dyDescent="0.25">
      <c r="A146" s="20">
        <v>145</v>
      </c>
      <c r="B146" s="21">
        <v>45930</v>
      </c>
      <c r="C146" s="20" t="s">
        <v>224</v>
      </c>
      <c r="D146" s="20" t="s">
        <v>140</v>
      </c>
      <c r="E146" s="20"/>
      <c r="F146" s="22" t="s">
        <v>141</v>
      </c>
      <c r="G146" s="23" t="s">
        <v>1043</v>
      </c>
      <c r="H146" s="57">
        <v>2</v>
      </c>
      <c r="I146" s="57">
        <v>0</v>
      </c>
      <c r="J146" s="119">
        <v>-39583440.509999998</v>
      </c>
    </row>
    <row r="147" spans="1:10" x14ac:dyDescent="0.25">
      <c r="A147" s="20">
        <v>146</v>
      </c>
      <c r="B147" s="21">
        <v>45930</v>
      </c>
      <c r="C147" s="20" t="s">
        <v>224</v>
      </c>
      <c r="D147" s="20" t="s">
        <v>752</v>
      </c>
      <c r="E147" s="20"/>
      <c r="F147" s="22" t="s">
        <v>874</v>
      </c>
      <c r="G147" s="23" t="s">
        <v>1044</v>
      </c>
      <c r="H147" s="57">
        <v>3.1642199999999998</v>
      </c>
      <c r="I147" s="57">
        <v>0</v>
      </c>
      <c r="J147" s="119">
        <v>-39899862.509999998</v>
      </c>
    </row>
    <row r="148" spans="1:10" x14ac:dyDescent="0.25">
      <c r="A148" s="20">
        <v>147</v>
      </c>
      <c r="B148" s="21">
        <v>45930</v>
      </c>
      <c r="C148" s="20" t="s">
        <v>224</v>
      </c>
      <c r="D148" s="20" t="s">
        <v>888</v>
      </c>
      <c r="E148" s="20"/>
      <c r="F148" s="22" t="s">
        <v>890</v>
      </c>
      <c r="G148" s="23" t="s">
        <v>1045</v>
      </c>
      <c r="H148" s="57">
        <v>1.8000000000000001E-4</v>
      </c>
      <c r="I148" s="57">
        <v>0</v>
      </c>
      <c r="J148" s="119">
        <v>-39899880.509999998</v>
      </c>
    </row>
    <row r="149" spans="1:10" ht="25.5" x14ac:dyDescent="0.25">
      <c r="A149" s="20">
        <v>148</v>
      </c>
      <c r="B149" s="21">
        <v>45930</v>
      </c>
      <c r="C149" s="20" t="s">
        <v>224</v>
      </c>
      <c r="D149" s="20" t="s">
        <v>759</v>
      </c>
      <c r="E149" s="20"/>
      <c r="F149" s="22" t="s">
        <v>908</v>
      </c>
      <c r="G149" s="23" t="s">
        <v>1046</v>
      </c>
      <c r="H149" s="57">
        <v>0.76437750000000004</v>
      </c>
      <c r="I149" s="57">
        <v>0</v>
      </c>
      <c r="J149" s="119">
        <v>-39976318.259999998</v>
      </c>
    </row>
    <row r="150" spans="1:10" x14ac:dyDescent="0.25">
      <c r="A150" s="20">
        <v>149</v>
      </c>
      <c r="B150" s="21">
        <v>45932</v>
      </c>
      <c r="C150" s="20" t="s">
        <v>383</v>
      </c>
      <c r="D150" s="20" t="s">
        <v>497</v>
      </c>
      <c r="E150" s="20"/>
      <c r="F150" s="22" t="s">
        <v>918</v>
      </c>
      <c r="G150" s="23" t="s">
        <v>1047</v>
      </c>
      <c r="H150" s="57">
        <v>0</v>
      </c>
      <c r="I150" s="57">
        <v>9.5</v>
      </c>
      <c r="J150" s="119">
        <v>-39026318.259999998</v>
      </c>
    </row>
    <row r="151" spans="1:10" ht="25.5" x14ac:dyDescent="0.25">
      <c r="A151" s="20">
        <v>150</v>
      </c>
      <c r="B151" s="21">
        <v>45933</v>
      </c>
      <c r="C151" s="20" t="s">
        <v>383</v>
      </c>
      <c r="D151" s="20" t="s">
        <v>759</v>
      </c>
      <c r="E151" s="20"/>
      <c r="F151" s="22" t="s">
        <v>904</v>
      </c>
      <c r="G151" s="23" t="s">
        <v>1048</v>
      </c>
      <c r="H151" s="57">
        <v>0.12</v>
      </c>
      <c r="I151" s="57">
        <v>0</v>
      </c>
      <c r="J151" s="119">
        <v>-39038318.259999998</v>
      </c>
    </row>
    <row r="152" spans="1:10" x14ac:dyDescent="0.25">
      <c r="A152" s="20">
        <v>151</v>
      </c>
      <c r="B152" s="21">
        <v>45933</v>
      </c>
      <c r="C152" s="20" t="s">
        <v>383</v>
      </c>
      <c r="D152" s="20" t="s">
        <v>91</v>
      </c>
      <c r="E152" s="20"/>
      <c r="F152" s="22" t="s">
        <v>884</v>
      </c>
      <c r="G152" s="23" t="s">
        <v>1049</v>
      </c>
      <c r="H152" s="57">
        <v>6</v>
      </c>
      <c r="I152" s="57">
        <v>0</v>
      </c>
      <c r="J152" s="119">
        <v>-39638318.259999998</v>
      </c>
    </row>
    <row r="153" spans="1:10" ht="25.5" x14ac:dyDescent="0.25">
      <c r="A153" s="20">
        <v>152</v>
      </c>
      <c r="B153" s="21">
        <v>45934</v>
      </c>
      <c r="C153" s="20" t="s">
        <v>383</v>
      </c>
      <c r="D153" s="23" t="s">
        <v>885</v>
      </c>
      <c r="E153" s="20"/>
      <c r="F153" s="22" t="s">
        <v>886</v>
      </c>
      <c r="G153" s="23" t="s">
        <v>1050</v>
      </c>
      <c r="H153" s="57">
        <v>1</v>
      </c>
      <c r="I153" s="57">
        <v>0</v>
      </c>
      <c r="J153" s="119">
        <v>-39738318.259999998</v>
      </c>
    </row>
    <row r="154" spans="1:10" x14ac:dyDescent="0.25">
      <c r="A154" s="20">
        <v>153</v>
      </c>
      <c r="B154" s="21">
        <v>45936</v>
      </c>
      <c r="C154" s="20" t="s">
        <v>383</v>
      </c>
      <c r="D154" s="20" t="s">
        <v>91</v>
      </c>
      <c r="E154" s="20"/>
      <c r="F154" s="22" t="s">
        <v>884</v>
      </c>
      <c r="G154" s="23" t="s">
        <v>1051</v>
      </c>
      <c r="H154" s="57">
        <v>1.5</v>
      </c>
      <c r="I154" s="57">
        <v>0</v>
      </c>
      <c r="J154" s="119">
        <v>-39888318.259999998</v>
      </c>
    </row>
    <row r="155" spans="1:10" x14ac:dyDescent="0.25">
      <c r="A155" s="20">
        <v>154</v>
      </c>
      <c r="B155" s="21">
        <v>45937</v>
      </c>
      <c r="C155" s="20" t="s">
        <v>383</v>
      </c>
      <c r="D155" s="20" t="s">
        <v>788</v>
      </c>
      <c r="E155" s="20"/>
      <c r="F155" s="22" t="s">
        <v>873</v>
      </c>
      <c r="G155" s="23" t="s">
        <v>1052</v>
      </c>
      <c r="H155" s="57">
        <v>2.112E-2</v>
      </c>
      <c r="I155" s="57">
        <v>0</v>
      </c>
      <c r="J155" s="119">
        <v>-39890430.259999998</v>
      </c>
    </row>
    <row r="156" spans="1:10" x14ac:dyDescent="0.25">
      <c r="A156" s="20">
        <v>155</v>
      </c>
      <c r="B156" s="21">
        <v>45937</v>
      </c>
      <c r="C156" s="20" t="s">
        <v>383</v>
      </c>
      <c r="D156" s="20" t="s">
        <v>788</v>
      </c>
      <c r="E156" s="20"/>
      <c r="F156" s="22" t="s">
        <v>873</v>
      </c>
      <c r="G156" s="23" t="s">
        <v>1053</v>
      </c>
      <c r="H156" s="57">
        <v>0.55049999999999999</v>
      </c>
      <c r="I156" s="57">
        <v>0</v>
      </c>
      <c r="J156" s="119">
        <v>-39945480.259999998</v>
      </c>
    </row>
    <row r="157" spans="1:10" x14ac:dyDescent="0.25">
      <c r="A157" s="20">
        <v>156</v>
      </c>
      <c r="B157" s="21">
        <v>45937</v>
      </c>
      <c r="C157" s="20" t="s">
        <v>383</v>
      </c>
      <c r="D157" s="20" t="s">
        <v>888</v>
      </c>
      <c r="E157" s="20"/>
      <c r="F157" s="22" t="s">
        <v>298</v>
      </c>
      <c r="G157" s="23" t="s">
        <v>1054</v>
      </c>
      <c r="H157" s="57">
        <v>2E-3</v>
      </c>
      <c r="I157" s="57">
        <v>0</v>
      </c>
      <c r="J157" s="119">
        <v>-39945680.259999998</v>
      </c>
    </row>
    <row r="158" spans="1:10" x14ac:dyDescent="0.25">
      <c r="A158" s="20">
        <v>157</v>
      </c>
      <c r="B158" s="21">
        <v>45938</v>
      </c>
      <c r="C158" s="20" t="s">
        <v>383</v>
      </c>
      <c r="D158" s="20" t="s">
        <v>91</v>
      </c>
      <c r="E158" s="20"/>
      <c r="F158" s="22" t="s">
        <v>884</v>
      </c>
      <c r="G158" s="23" t="s">
        <v>1055</v>
      </c>
      <c r="H158" s="57">
        <v>0.2</v>
      </c>
      <c r="I158" s="57">
        <v>0</v>
      </c>
      <c r="J158" s="119">
        <v>-39965680.259999998</v>
      </c>
    </row>
    <row r="159" spans="1:10" x14ac:dyDescent="0.25">
      <c r="A159" s="20">
        <v>158</v>
      </c>
      <c r="B159" s="21">
        <v>45938</v>
      </c>
      <c r="C159" s="20" t="s">
        <v>383</v>
      </c>
      <c r="D159" s="20" t="s">
        <v>497</v>
      </c>
      <c r="E159" s="20"/>
      <c r="F159" s="22" t="s">
        <v>918</v>
      </c>
      <c r="G159" s="23" t="s">
        <v>1056</v>
      </c>
      <c r="H159" s="57">
        <v>0</v>
      </c>
      <c r="I159" s="57">
        <v>20</v>
      </c>
      <c r="J159" s="119">
        <v>-37965680.259999998</v>
      </c>
    </row>
    <row r="160" spans="1:10" x14ac:dyDescent="0.25">
      <c r="A160" s="20">
        <v>159</v>
      </c>
      <c r="B160" s="21">
        <v>45938</v>
      </c>
      <c r="C160" s="20" t="s">
        <v>383</v>
      </c>
      <c r="D160" s="20" t="s">
        <v>91</v>
      </c>
      <c r="E160" s="20"/>
      <c r="F160" s="22" t="s">
        <v>884</v>
      </c>
      <c r="G160" s="23" t="s">
        <v>1057</v>
      </c>
      <c r="H160" s="57">
        <v>12</v>
      </c>
      <c r="I160" s="57">
        <v>0</v>
      </c>
      <c r="J160" s="119">
        <v>-39165680.259999998</v>
      </c>
    </row>
    <row r="161" spans="1:10" x14ac:dyDescent="0.25">
      <c r="A161" s="20">
        <v>160</v>
      </c>
      <c r="B161" s="21">
        <v>45939</v>
      </c>
      <c r="C161" s="20" t="s">
        <v>383</v>
      </c>
      <c r="D161" s="20" t="s">
        <v>91</v>
      </c>
      <c r="E161" s="20"/>
      <c r="F161" s="22" t="s">
        <v>884</v>
      </c>
      <c r="G161" s="23" t="s">
        <v>1010</v>
      </c>
      <c r="H161" s="57">
        <v>4</v>
      </c>
      <c r="I161" s="57">
        <v>0</v>
      </c>
      <c r="J161" s="119">
        <v>-39565680.259999998</v>
      </c>
    </row>
    <row r="162" spans="1:10" x14ac:dyDescent="0.25">
      <c r="A162" s="20">
        <v>161</v>
      </c>
      <c r="B162" s="21">
        <v>45939</v>
      </c>
      <c r="C162" s="20" t="s">
        <v>383</v>
      </c>
      <c r="D162" s="20" t="s">
        <v>140</v>
      </c>
      <c r="E162" s="20"/>
      <c r="F162" s="22" t="s">
        <v>141</v>
      </c>
      <c r="G162" s="23" t="s">
        <v>1058</v>
      </c>
      <c r="H162" s="57">
        <v>1.5</v>
      </c>
      <c r="I162" s="57">
        <v>0</v>
      </c>
      <c r="J162" s="119">
        <v>-39715680.259999998</v>
      </c>
    </row>
    <row r="163" spans="1:10" x14ac:dyDescent="0.25">
      <c r="A163" s="20">
        <v>162</v>
      </c>
      <c r="B163" s="21">
        <v>45939</v>
      </c>
      <c r="C163" s="20" t="s">
        <v>383</v>
      </c>
      <c r="D163" s="20" t="s">
        <v>888</v>
      </c>
      <c r="E163" s="20"/>
      <c r="F163" s="22" t="s">
        <v>889</v>
      </c>
      <c r="G163" s="23" t="s">
        <v>1059</v>
      </c>
      <c r="H163" s="57">
        <v>0.82941539999999991</v>
      </c>
      <c r="I163" s="57">
        <v>0</v>
      </c>
      <c r="J163" s="119">
        <v>-39798621.799999997</v>
      </c>
    </row>
    <row r="164" spans="1:10" x14ac:dyDescent="0.25">
      <c r="A164" s="20">
        <v>163</v>
      </c>
      <c r="B164" s="21">
        <v>45939</v>
      </c>
      <c r="C164" s="20" t="s">
        <v>383</v>
      </c>
      <c r="D164" s="20" t="s">
        <v>788</v>
      </c>
      <c r="E164" s="20"/>
      <c r="F164" s="22" t="s">
        <v>872</v>
      </c>
      <c r="G164" s="23" t="s">
        <v>1060</v>
      </c>
      <c r="H164" s="57">
        <v>0.75</v>
      </c>
      <c r="I164" s="57">
        <v>0</v>
      </c>
      <c r="J164" s="119">
        <v>-39873621.799999997</v>
      </c>
    </row>
    <row r="165" spans="1:10" x14ac:dyDescent="0.25">
      <c r="A165" s="20">
        <v>164</v>
      </c>
      <c r="B165" s="21">
        <v>45940</v>
      </c>
      <c r="C165" s="20" t="s">
        <v>383</v>
      </c>
      <c r="D165" s="20" t="s">
        <v>91</v>
      </c>
      <c r="E165" s="20"/>
      <c r="F165" s="22" t="s">
        <v>884</v>
      </c>
      <c r="G165" s="23" t="s">
        <v>1061</v>
      </c>
      <c r="H165" s="57">
        <v>0</v>
      </c>
      <c r="I165" s="57">
        <v>1.5</v>
      </c>
      <c r="J165" s="119">
        <v>-39723621.799999997</v>
      </c>
    </row>
    <row r="166" spans="1:10" x14ac:dyDescent="0.25">
      <c r="A166" s="20">
        <v>165</v>
      </c>
      <c r="B166" s="21">
        <v>45940</v>
      </c>
      <c r="C166" s="20" t="s">
        <v>383</v>
      </c>
      <c r="D166" s="20" t="s">
        <v>759</v>
      </c>
      <c r="E166" s="20"/>
      <c r="F166" s="22" t="s">
        <v>896</v>
      </c>
      <c r="G166" s="23" t="s">
        <v>1062</v>
      </c>
      <c r="H166" s="57">
        <v>0.45</v>
      </c>
      <c r="I166" s="57">
        <v>0</v>
      </c>
      <c r="J166" s="119">
        <v>-39768621.799999997</v>
      </c>
    </row>
    <row r="167" spans="1:10" x14ac:dyDescent="0.25">
      <c r="A167" s="20">
        <v>166</v>
      </c>
      <c r="B167" s="21">
        <v>45940</v>
      </c>
      <c r="C167" s="20" t="s">
        <v>383</v>
      </c>
      <c r="D167" s="20" t="s">
        <v>759</v>
      </c>
      <c r="E167" s="20"/>
      <c r="F167" s="22" t="s">
        <v>901</v>
      </c>
      <c r="G167" s="23" t="s">
        <v>1063</v>
      </c>
      <c r="H167" s="57">
        <v>0.2</v>
      </c>
      <c r="I167" s="57">
        <v>0</v>
      </c>
      <c r="J167" s="119">
        <v>-39788621.799999997</v>
      </c>
    </row>
    <row r="168" spans="1:10" ht="25.5" x14ac:dyDescent="0.25">
      <c r="A168" s="20">
        <v>167</v>
      </c>
      <c r="B168" s="21">
        <v>45940</v>
      </c>
      <c r="C168" s="20" t="s">
        <v>383</v>
      </c>
      <c r="D168" s="23" t="s">
        <v>885</v>
      </c>
      <c r="E168" s="20"/>
      <c r="F168" s="22" t="s">
        <v>886</v>
      </c>
      <c r="G168" s="23" t="s">
        <v>1064</v>
      </c>
      <c r="H168" s="57">
        <v>0.1</v>
      </c>
      <c r="I168" s="57">
        <v>0</v>
      </c>
      <c r="J168" s="119">
        <v>-39798621.799999997</v>
      </c>
    </row>
    <row r="169" spans="1:10" x14ac:dyDescent="0.25">
      <c r="A169" s="20">
        <v>168</v>
      </c>
      <c r="B169" s="21">
        <v>45940</v>
      </c>
      <c r="C169" s="20" t="s">
        <v>383</v>
      </c>
      <c r="D169" s="20" t="s">
        <v>888</v>
      </c>
      <c r="E169" s="20"/>
      <c r="F169" s="22" t="s">
        <v>891</v>
      </c>
      <c r="G169" s="23" t="s">
        <v>1065</v>
      </c>
      <c r="H169" s="57">
        <v>0.23333999999999999</v>
      </c>
      <c r="I169" s="57">
        <v>0</v>
      </c>
      <c r="J169" s="119">
        <v>-39821955.799999997</v>
      </c>
    </row>
    <row r="170" spans="1:10" x14ac:dyDescent="0.25">
      <c r="A170" s="20">
        <v>169</v>
      </c>
      <c r="B170" s="21">
        <v>45940</v>
      </c>
      <c r="C170" s="20" t="s">
        <v>383</v>
      </c>
      <c r="D170" s="20" t="s">
        <v>888</v>
      </c>
      <c r="E170" s="20"/>
      <c r="F170" s="22" t="s">
        <v>125</v>
      </c>
      <c r="G170" s="23" t="s">
        <v>1066</v>
      </c>
      <c r="H170" s="57">
        <v>1.44442</v>
      </c>
      <c r="I170" s="57">
        <v>0</v>
      </c>
      <c r="J170" s="119">
        <v>-39966397.799999997</v>
      </c>
    </row>
    <row r="171" spans="1:10" ht="25.5" x14ac:dyDescent="0.25">
      <c r="A171" s="20">
        <v>170</v>
      </c>
      <c r="B171" s="21">
        <v>45943</v>
      </c>
      <c r="C171" s="20" t="s">
        <v>383</v>
      </c>
      <c r="D171" s="20" t="s">
        <v>91</v>
      </c>
      <c r="E171" s="20"/>
      <c r="F171" s="22" t="s">
        <v>884</v>
      </c>
      <c r="G171" s="23" t="s">
        <v>944</v>
      </c>
      <c r="H171" s="57">
        <v>0</v>
      </c>
      <c r="I171" s="57">
        <v>1.5</v>
      </c>
      <c r="J171" s="119">
        <v>-39816397.799999997</v>
      </c>
    </row>
    <row r="172" spans="1:10" ht="25.5" x14ac:dyDescent="0.25">
      <c r="A172" s="20">
        <v>171</v>
      </c>
      <c r="B172" s="21">
        <v>45943</v>
      </c>
      <c r="C172" s="20" t="s">
        <v>383</v>
      </c>
      <c r="D172" s="23" t="s">
        <v>885</v>
      </c>
      <c r="E172" s="20"/>
      <c r="F172" s="22" t="s">
        <v>886</v>
      </c>
      <c r="G172" s="23" t="s">
        <v>931</v>
      </c>
      <c r="H172" s="57">
        <v>0.5</v>
      </c>
      <c r="I172" s="57">
        <v>0</v>
      </c>
      <c r="J172" s="119">
        <v>-39866397.799999997</v>
      </c>
    </row>
    <row r="173" spans="1:10" ht="25.5" x14ac:dyDescent="0.25">
      <c r="A173" s="20">
        <v>172</v>
      </c>
      <c r="B173" s="21">
        <v>45943</v>
      </c>
      <c r="C173" s="20" t="s">
        <v>383</v>
      </c>
      <c r="D173" s="20" t="s">
        <v>759</v>
      </c>
      <c r="E173" s="20"/>
      <c r="F173" s="22" t="s">
        <v>770</v>
      </c>
      <c r="G173" s="23" t="s">
        <v>1067</v>
      </c>
      <c r="H173" s="57">
        <v>0.56000000000000005</v>
      </c>
      <c r="I173" s="57">
        <v>0</v>
      </c>
      <c r="J173" s="119">
        <v>-39922397.799999997</v>
      </c>
    </row>
    <row r="174" spans="1:10" x14ac:dyDescent="0.25">
      <c r="A174" s="20">
        <v>173</v>
      </c>
      <c r="B174" s="21">
        <v>45943</v>
      </c>
      <c r="C174" s="20" t="s">
        <v>383</v>
      </c>
      <c r="D174" s="20" t="s">
        <v>788</v>
      </c>
      <c r="E174" s="20"/>
      <c r="F174" s="22" t="s">
        <v>870</v>
      </c>
      <c r="G174" s="23" t="s">
        <v>1068</v>
      </c>
      <c r="H174" s="57">
        <v>0</v>
      </c>
      <c r="I174" s="57">
        <v>18.265689999999999</v>
      </c>
      <c r="J174" s="119">
        <v>-38095828.799999997</v>
      </c>
    </row>
    <row r="175" spans="1:10" x14ac:dyDescent="0.25">
      <c r="A175" s="20">
        <v>174</v>
      </c>
      <c r="B175" s="21">
        <v>45943</v>
      </c>
      <c r="C175" s="20" t="s">
        <v>383</v>
      </c>
      <c r="D175" s="20" t="s">
        <v>788</v>
      </c>
      <c r="E175" s="20"/>
      <c r="F175" s="22" t="s">
        <v>870</v>
      </c>
      <c r="G175" s="23" t="s">
        <v>1069</v>
      </c>
      <c r="H175" s="57">
        <v>0.25205499999999997</v>
      </c>
      <c r="I175" s="57">
        <v>0</v>
      </c>
      <c r="J175" s="119">
        <v>-38121034.299999997</v>
      </c>
    </row>
    <row r="176" spans="1:10" x14ac:dyDescent="0.25">
      <c r="A176" s="20">
        <v>175</v>
      </c>
      <c r="B176" s="21">
        <v>45944</v>
      </c>
      <c r="C176" s="20" t="s">
        <v>383</v>
      </c>
      <c r="D176" s="20" t="s">
        <v>91</v>
      </c>
      <c r="E176" s="20"/>
      <c r="F176" s="22" t="s">
        <v>884</v>
      </c>
      <c r="G176" s="23" t="s">
        <v>1070</v>
      </c>
      <c r="H176" s="57">
        <v>16</v>
      </c>
      <c r="I176" s="57">
        <v>0</v>
      </c>
      <c r="J176" s="119">
        <v>-39721034.299999997</v>
      </c>
    </row>
    <row r="177" spans="1:10" ht="25.5" x14ac:dyDescent="0.25">
      <c r="A177" s="20">
        <v>176</v>
      </c>
      <c r="B177" s="21">
        <v>45944</v>
      </c>
      <c r="C177" s="20" t="s">
        <v>383</v>
      </c>
      <c r="D177" s="23" t="s">
        <v>885</v>
      </c>
      <c r="E177" s="20"/>
      <c r="F177" s="22" t="s">
        <v>886</v>
      </c>
      <c r="G177" s="23" t="s">
        <v>1071</v>
      </c>
      <c r="H177" s="57">
        <v>0.2</v>
      </c>
      <c r="I177" s="57">
        <v>0</v>
      </c>
      <c r="J177" s="119">
        <v>-39741034.299999997</v>
      </c>
    </row>
    <row r="178" spans="1:10" ht="25.5" x14ac:dyDescent="0.25">
      <c r="A178" s="20">
        <v>177</v>
      </c>
      <c r="B178" s="21">
        <v>45944</v>
      </c>
      <c r="C178" s="20" t="s">
        <v>383</v>
      </c>
      <c r="D178" s="23" t="s">
        <v>885</v>
      </c>
      <c r="E178" s="20"/>
      <c r="F178" s="22" t="s">
        <v>886</v>
      </c>
      <c r="G178" s="23" t="s">
        <v>1072</v>
      </c>
      <c r="H178" s="57">
        <v>0.2</v>
      </c>
      <c r="I178" s="57">
        <v>0</v>
      </c>
      <c r="J178" s="119">
        <v>-39761034.299999997</v>
      </c>
    </row>
    <row r="179" spans="1:10" x14ac:dyDescent="0.25">
      <c r="A179" s="20">
        <v>178</v>
      </c>
      <c r="B179" s="21">
        <v>45944</v>
      </c>
      <c r="C179" s="20" t="s">
        <v>383</v>
      </c>
      <c r="D179" s="20" t="s">
        <v>759</v>
      </c>
      <c r="E179" s="20"/>
      <c r="F179" s="22" t="s">
        <v>911</v>
      </c>
      <c r="G179" s="23" t="s">
        <v>1073</v>
      </c>
      <c r="H179" s="57">
        <v>2</v>
      </c>
      <c r="I179" s="57">
        <v>0</v>
      </c>
      <c r="J179" s="119">
        <v>-39961034.299999997</v>
      </c>
    </row>
    <row r="180" spans="1:10" x14ac:dyDescent="0.25">
      <c r="A180" s="20">
        <v>179</v>
      </c>
      <c r="B180" s="21">
        <v>45945</v>
      </c>
      <c r="C180" s="20" t="s">
        <v>383</v>
      </c>
      <c r="D180" s="20" t="s">
        <v>497</v>
      </c>
      <c r="E180" s="20"/>
      <c r="F180" s="22" t="s">
        <v>895</v>
      </c>
      <c r="G180" s="23" t="s">
        <v>1074</v>
      </c>
      <c r="H180" s="57">
        <v>0</v>
      </c>
      <c r="I180" s="57">
        <v>5</v>
      </c>
      <c r="J180" s="119">
        <v>-39461034.299999997</v>
      </c>
    </row>
    <row r="181" spans="1:10" x14ac:dyDescent="0.25">
      <c r="A181" s="20">
        <v>180</v>
      </c>
      <c r="B181" s="21">
        <v>45945</v>
      </c>
      <c r="C181" s="20" t="s">
        <v>383</v>
      </c>
      <c r="D181" s="20" t="s">
        <v>91</v>
      </c>
      <c r="E181" s="20"/>
      <c r="F181" s="22" t="s">
        <v>884</v>
      </c>
      <c r="G181" s="23" t="s">
        <v>1010</v>
      </c>
      <c r="H181" s="57">
        <v>5</v>
      </c>
      <c r="I181" s="57">
        <v>0</v>
      </c>
      <c r="J181" s="119">
        <v>-39961034.299999997</v>
      </c>
    </row>
    <row r="182" spans="1:10" ht="25.5" x14ac:dyDescent="0.25">
      <c r="A182" s="20">
        <v>181</v>
      </c>
      <c r="B182" s="21">
        <v>45945</v>
      </c>
      <c r="C182" s="20" t="s">
        <v>383</v>
      </c>
      <c r="D182" s="20" t="s">
        <v>759</v>
      </c>
      <c r="E182" s="20"/>
      <c r="F182" s="22" t="s">
        <v>769</v>
      </c>
      <c r="G182" s="23" t="s">
        <v>1075</v>
      </c>
      <c r="H182" s="57">
        <v>0.18784000000000001</v>
      </c>
      <c r="I182" s="57">
        <v>0</v>
      </c>
      <c r="J182" s="119">
        <v>-39979818.299999997</v>
      </c>
    </row>
    <row r="183" spans="1:10" ht="25.5" x14ac:dyDescent="0.25">
      <c r="A183" s="20">
        <v>182</v>
      </c>
      <c r="B183" s="21">
        <v>45947</v>
      </c>
      <c r="C183" s="20" t="s">
        <v>383</v>
      </c>
      <c r="D183" s="20" t="s">
        <v>759</v>
      </c>
      <c r="E183" s="20"/>
      <c r="F183" s="22" t="s">
        <v>908</v>
      </c>
      <c r="G183" s="23" t="s">
        <v>1076</v>
      </c>
      <c r="H183" s="57">
        <v>0.10304000000000001</v>
      </c>
      <c r="I183" s="57">
        <v>0</v>
      </c>
      <c r="J183" s="119">
        <v>-39990122.299999997</v>
      </c>
    </row>
    <row r="184" spans="1:10" x14ac:dyDescent="0.25">
      <c r="A184" s="20">
        <v>183</v>
      </c>
      <c r="B184" s="21">
        <v>45954</v>
      </c>
      <c r="C184" s="20" t="s">
        <v>383</v>
      </c>
      <c r="D184" s="20" t="s">
        <v>497</v>
      </c>
      <c r="E184" s="20"/>
      <c r="F184" s="22" t="s">
        <v>895</v>
      </c>
      <c r="G184" s="23" t="s">
        <v>1077</v>
      </c>
      <c r="H184" s="57">
        <v>0</v>
      </c>
      <c r="I184" s="57">
        <v>5</v>
      </c>
      <c r="J184" s="119">
        <v>-39490122.299999997</v>
      </c>
    </row>
    <row r="185" spans="1:10" x14ac:dyDescent="0.25">
      <c r="A185" s="20">
        <v>184</v>
      </c>
      <c r="B185" s="21">
        <v>45954</v>
      </c>
      <c r="C185" s="20" t="s">
        <v>383</v>
      </c>
      <c r="D185" s="20" t="s">
        <v>759</v>
      </c>
      <c r="E185" s="20"/>
      <c r="F185" s="22" t="s">
        <v>911</v>
      </c>
      <c r="G185" s="23" t="s">
        <v>1078</v>
      </c>
      <c r="H185" s="57">
        <v>1.23</v>
      </c>
      <c r="I185" s="57">
        <v>0</v>
      </c>
      <c r="J185" s="119">
        <v>-39613122.299999997</v>
      </c>
    </row>
    <row r="186" spans="1:10" x14ac:dyDescent="0.25">
      <c r="A186" s="20">
        <v>185</v>
      </c>
      <c r="B186" s="21">
        <v>45954</v>
      </c>
      <c r="C186" s="20" t="s">
        <v>383</v>
      </c>
      <c r="D186" s="20" t="s">
        <v>140</v>
      </c>
      <c r="E186" s="20"/>
      <c r="F186" s="22" t="s">
        <v>141</v>
      </c>
      <c r="G186" s="23" t="s">
        <v>1079</v>
      </c>
      <c r="H186" s="57">
        <v>1</v>
      </c>
      <c r="I186" s="57">
        <v>0</v>
      </c>
      <c r="J186" s="119">
        <v>-39713122.299999997</v>
      </c>
    </row>
    <row r="187" spans="1:10" x14ac:dyDescent="0.25">
      <c r="A187" s="20">
        <v>186</v>
      </c>
      <c r="B187" s="21">
        <v>45954</v>
      </c>
      <c r="C187" s="20" t="s">
        <v>383</v>
      </c>
      <c r="D187" s="20" t="s">
        <v>497</v>
      </c>
      <c r="E187" s="20"/>
      <c r="F187" s="22" t="s">
        <v>789</v>
      </c>
      <c r="G187" s="23" t="s">
        <v>1080</v>
      </c>
      <c r="H187" s="57">
        <v>0</v>
      </c>
      <c r="I187" s="57">
        <v>1.9079999999999998E-4</v>
      </c>
      <c r="J187" s="119">
        <v>-39713103.219999999</v>
      </c>
    </row>
    <row r="188" spans="1:10" x14ac:dyDescent="0.25">
      <c r="A188" s="20">
        <v>187</v>
      </c>
      <c r="B188" s="21">
        <v>45954</v>
      </c>
      <c r="C188" s="20" t="s">
        <v>383</v>
      </c>
      <c r="D188" s="20" t="s">
        <v>497</v>
      </c>
      <c r="E188" s="20"/>
      <c r="F188" s="22" t="s">
        <v>789</v>
      </c>
      <c r="G188" s="23" t="s">
        <v>1081</v>
      </c>
      <c r="H188" s="57">
        <v>0</v>
      </c>
      <c r="I188" s="57">
        <v>4.2299999999999998E-4</v>
      </c>
      <c r="J188" s="119">
        <v>-39713060.920000002</v>
      </c>
    </row>
    <row r="189" spans="1:10" x14ac:dyDescent="0.25">
      <c r="A189" s="20">
        <v>188</v>
      </c>
      <c r="B189" s="21">
        <v>45954</v>
      </c>
      <c r="C189" s="20" t="s">
        <v>383</v>
      </c>
      <c r="D189" s="20" t="s">
        <v>888</v>
      </c>
      <c r="E189" s="20"/>
      <c r="F189" s="22" t="s">
        <v>298</v>
      </c>
      <c r="G189" s="23" t="s">
        <v>1082</v>
      </c>
      <c r="H189" s="57">
        <v>7.1599999999999997E-3</v>
      </c>
      <c r="I189" s="57">
        <v>0</v>
      </c>
      <c r="J189" s="119">
        <v>-39713776.920000002</v>
      </c>
    </row>
    <row r="190" spans="1:10" x14ac:dyDescent="0.25">
      <c r="A190" s="20">
        <v>189</v>
      </c>
      <c r="B190" s="21">
        <v>45954</v>
      </c>
      <c r="C190" s="20" t="s">
        <v>383</v>
      </c>
      <c r="D190" s="20" t="s">
        <v>888</v>
      </c>
      <c r="E190" s="20"/>
      <c r="F190" s="22" t="s">
        <v>298</v>
      </c>
      <c r="G190" s="23" t="s">
        <v>1082</v>
      </c>
      <c r="H190" s="57">
        <v>5.7600000000000004E-3</v>
      </c>
      <c r="I190" s="57">
        <v>0</v>
      </c>
      <c r="J190" s="119">
        <v>-39714352.920000002</v>
      </c>
    </row>
    <row r="191" spans="1:10" x14ac:dyDescent="0.25">
      <c r="A191" s="20">
        <v>190</v>
      </c>
      <c r="B191" s="21">
        <v>45958</v>
      </c>
      <c r="C191" s="20" t="s">
        <v>383</v>
      </c>
      <c r="D191" s="20" t="s">
        <v>91</v>
      </c>
      <c r="E191" s="20"/>
      <c r="F191" s="22" t="s">
        <v>884</v>
      </c>
      <c r="G191" s="23" t="s">
        <v>933</v>
      </c>
      <c r="H191" s="57">
        <v>1.5</v>
      </c>
      <c r="I191" s="57">
        <v>0</v>
      </c>
      <c r="J191" s="119">
        <v>-39864352.920000002</v>
      </c>
    </row>
    <row r="192" spans="1:10" x14ac:dyDescent="0.25">
      <c r="A192" s="20">
        <v>191</v>
      </c>
      <c r="B192" s="21">
        <v>45959</v>
      </c>
      <c r="C192" s="20" t="s">
        <v>383</v>
      </c>
      <c r="D192" s="20" t="s">
        <v>91</v>
      </c>
      <c r="E192" s="20"/>
      <c r="F192" s="22" t="s">
        <v>884</v>
      </c>
      <c r="G192" s="23" t="s">
        <v>920</v>
      </c>
      <c r="H192" s="57">
        <v>0</v>
      </c>
      <c r="I192" s="57">
        <v>1.3</v>
      </c>
      <c r="J192" s="119">
        <v>-39734352.920000002</v>
      </c>
    </row>
    <row r="193" spans="1:10" ht="25.5" x14ac:dyDescent="0.25">
      <c r="A193" s="20">
        <v>192</v>
      </c>
      <c r="B193" s="21">
        <v>45959</v>
      </c>
      <c r="C193" s="20" t="s">
        <v>383</v>
      </c>
      <c r="D193" s="23" t="s">
        <v>885</v>
      </c>
      <c r="E193" s="20"/>
      <c r="F193" s="22" t="s">
        <v>886</v>
      </c>
      <c r="G193" s="23" t="s">
        <v>1083</v>
      </c>
      <c r="H193" s="57">
        <v>2.2999999999999998</v>
      </c>
      <c r="I193" s="57">
        <v>0</v>
      </c>
      <c r="J193" s="119">
        <v>-39964352.920000002</v>
      </c>
    </row>
    <row r="194" spans="1:10" x14ac:dyDescent="0.25">
      <c r="A194" s="20">
        <v>193</v>
      </c>
      <c r="B194" s="21">
        <v>45961</v>
      </c>
      <c r="C194" s="20" t="s">
        <v>383</v>
      </c>
      <c r="D194" s="20" t="s">
        <v>788</v>
      </c>
      <c r="E194" s="20"/>
      <c r="F194" s="22" t="s">
        <v>870</v>
      </c>
      <c r="G194" s="23" t="s">
        <v>1084</v>
      </c>
      <c r="H194" s="57">
        <v>0</v>
      </c>
      <c r="I194" s="57">
        <v>20.269870000000001</v>
      </c>
      <c r="J194" s="119">
        <v>-37937365.920000002</v>
      </c>
    </row>
    <row r="195" spans="1:10" x14ac:dyDescent="0.25">
      <c r="A195" s="20">
        <v>194</v>
      </c>
      <c r="B195" s="21">
        <v>45961</v>
      </c>
      <c r="C195" s="20" t="s">
        <v>383</v>
      </c>
      <c r="D195" s="20" t="s">
        <v>788</v>
      </c>
      <c r="E195" s="20"/>
      <c r="F195" s="22" t="s">
        <v>870</v>
      </c>
      <c r="G195" s="23" t="s">
        <v>1085</v>
      </c>
      <c r="H195" s="57">
        <v>0.32022499999999998</v>
      </c>
      <c r="I195" s="57">
        <v>0</v>
      </c>
      <c r="J195" s="119">
        <v>-37969388.420000002</v>
      </c>
    </row>
    <row r="196" spans="1:10" x14ac:dyDescent="0.25">
      <c r="A196" s="20">
        <v>195</v>
      </c>
      <c r="B196" s="21">
        <v>45961</v>
      </c>
      <c r="C196" s="20" t="s">
        <v>383</v>
      </c>
      <c r="D196" s="20" t="s">
        <v>752</v>
      </c>
      <c r="E196" s="20"/>
      <c r="F196" s="22" t="s">
        <v>874</v>
      </c>
      <c r="G196" s="23" t="s">
        <v>1086</v>
      </c>
      <c r="H196" s="57">
        <v>3.27291</v>
      </c>
      <c r="I196" s="57">
        <v>0</v>
      </c>
      <c r="J196" s="119">
        <v>-38296679.420000002</v>
      </c>
    </row>
    <row r="197" spans="1:10" x14ac:dyDescent="0.25">
      <c r="A197" s="20">
        <v>196</v>
      </c>
      <c r="B197" s="21">
        <v>45961</v>
      </c>
      <c r="C197" s="20" t="s">
        <v>383</v>
      </c>
      <c r="D197" s="20" t="s">
        <v>888</v>
      </c>
      <c r="E197" s="20"/>
      <c r="F197" s="22" t="s">
        <v>890</v>
      </c>
      <c r="G197" s="23" t="s">
        <v>1087</v>
      </c>
      <c r="H197" s="57">
        <v>2.1669999999999998E-2</v>
      </c>
      <c r="I197" s="57">
        <v>0</v>
      </c>
      <c r="J197" s="119">
        <v>-38298846.420000002</v>
      </c>
    </row>
    <row r="198" spans="1:10" x14ac:dyDescent="0.25">
      <c r="A198" s="20">
        <v>197</v>
      </c>
      <c r="B198" s="21">
        <v>45961</v>
      </c>
      <c r="C198" s="20" t="s">
        <v>383</v>
      </c>
      <c r="D198" s="20" t="s">
        <v>888</v>
      </c>
      <c r="E198" s="20"/>
      <c r="F198" s="22" t="s">
        <v>298</v>
      </c>
      <c r="G198" s="23" t="s">
        <v>1088</v>
      </c>
      <c r="H198" s="57">
        <v>1.6250000000000001E-2</v>
      </c>
      <c r="I198" s="57">
        <v>0</v>
      </c>
      <c r="J198" s="119">
        <v>-38300471.420000002</v>
      </c>
    </row>
    <row r="199" spans="1:10" x14ac:dyDescent="0.25">
      <c r="A199" s="20">
        <v>198</v>
      </c>
      <c r="B199" s="21">
        <v>45961</v>
      </c>
      <c r="C199" s="20" t="s">
        <v>383</v>
      </c>
      <c r="D199" s="20" t="s">
        <v>888</v>
      </c>
      <c r="E199" s="20"/>
      <c r="F199" s="22" t="s">
        <v>298</v>
      </c>
      <c r="G199" s="23" t="s">
        <v>1088</v>
      </c>
      <c r="H199" s="57">
        <v>8.0000000000000004E-4</v>
      </c>
      <c r="I199" s="57">
        <v>0</v>
      </c>
      <c r="J199" s="119">
        <v>-38300551.420000002</v>
      </c>
    </row>
    <row r="200" spans="1:10" x14ac:dyDescent="0.25">
      <c r="A200" s="20">
        <v>199</v>
      </c>
      <c r="B200" s="21">
        <v>45961</v>
      </c>
      <c r="C200" s="20" t="s">
        <v>383</v>
      </c>
      <c r="D200" s="20" t="s">
        <v>888</v>
      </c>
      <c r="E200" s="20"/>
      <c r="F200" s="22" t="s">
        <v>298</v>
      </c>
      <c r="G200" s="23" t="s">
        <v>1088</v>
      </c>
      <c r="H200" s="57">
        <v>1.6000000000000001E-3</v>
      </c>
      <c r="I200" s="57">
        <v>0</v>
      </c>
      <c r="J200" s="119">
        <v>-38300711.420000002</v>
      </c>
    </row>
    <row r="201" spans="1:10" x14ac:dyDescent="0.25">
      <c r="A201" s="20">
        <v>200</v>
      </c>
      <c r="B201" s="21">
        <v>45962</v>
      </c>
      <c r="C201" s="20" t="s">
        <v>474</v>
      </c>
      <c r="D201" s="20" t="s">
        <v>91</v>
      </c>
      <c r="E201" s="20"/>
      <c r="F201" s="22" t="s">
        <v>884</v>
      </c>
      <c r="G201" s="23" t="s">
        <v>977</v>
      </c>
      <c r="H201" s="57">
        <v>16.5</v>
      </c>
      <c r="I201" s="57">
        <v>0</v>
      </c>
      <c r="J201" s="119">
        <v>-39950711.420000002</v>
      </c>
    </row>
    <row r="202" spans="1:10" ht="25.5" x14ac:dyDescent="0.25">
      <c r="A202" s="20">
        <v>201</v>
      </c>
      <c r="B202" s="21">
        <v>45962</v>
      </c>
      <c r="C202" s="20" t="s">
        <v>474</v>
      </c>
      <c r="D202" s="20" t="s">
        <v>759</v>
      </c>
      <c r="E202" s="20"/>
      <c r="F202" s="22" t="s">
        <v>904</v>
      </c>
      <c r="G202" s="23" t="s">
        <v>1089</v>
      </c>
      <c r="H202" s="57">
        <v>0.12</v>
      </c>
      <c r="I202" s="57">
        <v>0</v>
      </c>
      <c r="J202" s="119">
        <v>-39962711.420000002</v>
      </c>
    </row>
    <row r="203" spans="1:10" x14ac:dyDescent="0.25">
      <c r="A203" s="20">
        <v>202</v>
      </c>
      <c r="B203" s="21">
        <v>45964</v>
      </c>
      <c r="C203" s="20" t="s">
        <v>474</v>
      </c>
      <c r="D203" s="20" t="s">
        <v>497</v>
      </c>
      <c r="E203" s="20"/>
      <c r="F203" s="22" t="s">
        <v>895</v>
      </c>
      <c r="G203" s="23" t="s">
        <v>1090</v>
      </c>
      <c r="H203" s="57">
        <v>0</v>
      </c>
      <c r="I203" s="57">
        <v>13</v>
      </c>
      <c r="J203" s="119">
        <v>-38662711.420000002</v>
      </c>
    </row>
    <row r="204" spans="1:10" x14ac:dyDescent="0.25">
      <c r="A204" s="20">
        <v>203</v>
      </c>
      <c r="B204" s="21">
        <v>45964</v>
      </c>
      <c r="C204" s="20" t="s">
        <v>474</v>
      </c>
      <c r="D204" s="20" t="s">
        <v>91</v>
      </c>
      <c r="E204" s="20"/>
      <c r="F204" s="22" t="s">
        <v>884</v>
      </c>
      <c r="G204" s="23" t="s">
        <v>977</v>
      </c>
      <c r="H204" s="57">
        <v>7.5</v>
      </c>
      <c r="I204" s="57">
        <v>0</v>
      </c>
      <c r="J204" s="119">
        <v>-39412711.420000002</v>
      </c>
    </row>
    <row r="205" spans="1:10" x14ac:dyDescent="0.25">
      <c r="A205" s="20">
        <v>204</v>
      </c>
      <c r="B205" s="21">
        <v>45964</v>
      </c>
      <c r="C205" s="20" t="s">
        <v>474</v>
      </c>
      <c r="D205" s="20" t="s">
        <v>759</v>
      </c>
      <c r="E205" s="20"/>
      <c r="F205" s="22" t="s">
        <v>789</v>
      </c>
      <c r="G205" s="23" t="s">
        <v>1091</v>
      </c>
      <c r="H205" s="57">
        <v>1.25E-3</v>
      </c>
      <c r="I205" s="57">
        <v>0</v>
      </c>
      <c r="J205" s="119">
        <v>-39412836.420000002</v>
      </c>
    </row>
    <row r="206" spans="1:10" x14ac:dyDescent="0.25">
      <c r="A206" s="20">
        <v>205</v>
      </c>
      <c r="B206" s="21">
        <v>45964</v>
      </c>
      <c r="C206" s="20" t="s">
        <v>474</v>
      </c>
      <c r="D206" s="20" t="s">
        <v>759</v>
      </c>
      <c r="E206" s="20"/>
      <c r="F206" s="22" t="s">
        <v>789</v>
      </c>
      <c r="G206" s="23" t="s">
        <v>1092</v>
      </c>
      <c r="H206" s="57">
        <v>2.2499999999999999E-4</v>
      </c>
      <c r="I206" s="57">
        <v>0</v>
      </c>
      <c r="J206" s="119">
        <v>-39412858.920000002</v>
      </c>
    </row>
    <row r="207" spans="1:10" x14ac:dyDescent="0.25">
      <c r="A207" s="20">
        <v>206</v>
      </c>
      <c r="B207" s="21">
        <v>45964</v>
      </c>
      <c r="C207" s="20" t="s">
        <v>474</v>
      </c>
      <c r="D207" s="20" t="s">
        <v>140</v>
      </c>
      <c r="E207" s="20"/>
      <c r="F207" s="22" t="s">
        <v>141</v>
      </c>
      <c r="G207" s="23" t="s">
        <v>1093</v>
      </c>
      <c r="H207" s="57">
        <v>0.5</v>
      </c>
      <c r="I207" s="57">
        <v>0</v>
      </c>
      <c r="J207" s="119">
        <v>-39462858.920000002</v>
      </c>
    </row>
    <row r="208" spans="1:10" ht="25.5" x14ac:dyDescent="0.25">
      <c r="A208" s="20">
        <v>207</v>
      </c>
      <c r="B208" s="21">
        <v>45964</v>
      </c>
      <c r="C208" s="20" t="s">
        <v>474</v>
      </c>
      <c r="D208" s="20" t="s">
        <v>759</v>
      </c>
      <c r="E208" s="20"/>
      <c r="F208" s="22" t="s">
        <v>898</v>
      </c>
      <c r="G208" s="23" t="s">
        <v>1094</v>
      </c>
      <c r="H208" s="57">
        <v>5</v>
      </c>
      <c r="I208" s="57">
        <v>0</v>
      </c>
      <c r="J208" s="119">
        <v>-39962858.920000002</v>
      </c>
    </row>
    <row r="209" spans="1:10" x14ac:dyDescent="0.25">
      <c r="A209" s="20">
        <v>208</v>
      </c>
      <c r="B209" s="21">
        <v>45966</v>
      </c>
      <c r="C209" s="20" t="s">
        <v>474</v>
      </c>
      <c r="D209" s="20" t="s">
        <v>91</v>
      </c>
      <c r="E209" s="20"/>
      <c r="F209" s="22" t="s">
        <v>884</v>
      </c>
      <c r="G209" s="23" t="s">
        <v>920</v>
      </c>
      <c r="H209" s="57">
        <v>0</v>
      </c>
      <c r="I209" s="57">
        <v>4.5</v>
      </c>
      <c r="J209" s="119">
        <v>-39512858.920000002</v>
      </c>
    </row>
    <row r="210" spans="1:10" ht="25.5" x14ac:dyDescent="0.25">
      <c r="A210" s="20">
        <v>209</v>
      </c>
      <c r="B210" s="21">
        <v>45966</v>
      </c>
      <c r="C210" s="20" t="s">
        <v>474</v>
      </c>
      <c r="D210" s="23" t="s">
        <v>885</v>
      </c>
      <c r="E210" s="20"/>
      <c r="F210" s="22" t="s">
        <v>886</v>
      </c>
      <c r="G210" s="23" t="s">
        <v>1095</v>
      </c>
      <c r="H210" s="57">
        <v>4.5</v>
      </c>
      <c r="I210" s="57">
        <v>0</v>
      </c>
      <c r="J210" s="119">
        <v>-39962858.920000002</v>
      </c>
    </row>
    <row r="211" spans="1:10" ht="25.5" x14ac:dyDescent="0.25">
      <c r="A211" s="20">
        <v>210</v>
      </c>
      <c r="B211" s="21">
        <v>45966</v>
      </c>
      <c r="C211" s="20" t="s">
        <v>474</v>
      </c>
      <c r="D211" s="23" t="s">
        <v>885</v>
      </c>
      <c r="E211" s="20"/>
      <c r="F211" s="22" t="s">
        <v>886</v>
      </c>
      <c r="G211" s="23" t="s">
        <v>1096</v>
      </c>
      <c r="H211" s="57">
        <v>0</v>
      </c>
      <c r="I211" s="57">
        <v>4.5</v>
      </c>
      <c r="J211" s="119">
        <v>-39512858.920000002</v>
      </c>
    </row>
    <row r="212" spans="1:10" x14ac:dyDescent="0.25">
      <c r="A212" s="20">
        <v>211</v>
      </c>
      <c r="B212" s="21">
        <v>45966</v>
      </c>
      <c r="C212" s="20" t="s">
        <v>474</v>
      </c>
      <c r="D212" s="20" t="s">
        <v>91</v>
      </c>
      <c r="E212" s="20"/>
      <c r="F212" s="22" t="s">
        <v>884</v>
      </c>
      <c r="G212" s="23" t="s">
        <v>933</v>
      </c>
      <c r="H212" s="57">
        <v>4.5</v>
      </c>
      <c r="I212" s="57">
        <v>0</v>
      </c>
      <c r="J212" s="119">
        <v>-39962858.920000002</v>
      </c>
    </row>
    <row r="213" spans="1:10" x14ac:dyDescent="0.25">
      <c r="A213" s="20">
        <v>212</v>
      </c>
      <c r="B213" s="21">
        <v>45966</v>
      </c>
      <c r="C213" s="20" t="s">
        <v>474</v>
      </c>
      <c r="D213" s="20" t="s">
        <v>747</v>
      </c>
      <c r="E213" s="20"/>
      <c r="F213" s="22" t="s">
        <v>881</v>
      </c>
      <c r="G213" s="23" t="s">
        <v>1097</v>
      </c>
      <c r="H213" s="57">
        <v>4.4249999999999998E-2</v>
      </c>
      <c r="I213" s="57">
        <v>0</v>
      </c>
      <c r="J213" s="119">
        <v>-39967283.920000002</v>
      </c>
    </row>
    <row r="214" spans="1:10" x14ac:dyDescent="0.25">
      <c r="A214" s="20">
        <v>213</v>
      </c>
      <c r="B214" s="21">
        <v>45967</v>
      </c>
      <c r="C214" s="20" t="s">
        <v>474</v>
      </c>
      <c r="D214" s="20" t="s">
        <v>497</v>
      </c>
      <c r="E214" s="20"/>
      <c r="F214" s="22" t="s">
        <v>498</v>
      </c>
      <c r="G214" s="23" t="s">
        <v>499</v>
      </c>
      <c r="H214" s="57">
        <v>0</v>
      </c>
      <c r="I214" s="57">
        <v>5</v>
      </c>
      <c r="J214" s="119">
        <v>-39467283.920000002</v>
      </c>
    </row>
    <row r="215" spans="1:10" x14ac:dyDescent="0.25">
      <c r="A215" s="20">
        <v>214</v>
      </c>
      <c r="B215" s="21">
        <v>45967</v>
      </c>
      <c r="C215" s="20" t="s">
        <v>474</v>
      </c>
      <c r="D215" s="20" t="s">
        <v>91</v>
      </c>
      <c r="E215" s="20"/>
      <c r="F215" s="22" t="s">
        <v>884</v>
      </c>
      <c r="G215" s="23" t="s">
        <v>920</v>
      </c>
      <c r="H215" s="57">
        <v>0</v>
      </c>
      <c r="I215" s="57">
        <v>10</v>
      </c>
      <c r="J215" s="119">
        <v>-38467283.920000002</v>
      </c>
    </row>
    <row r="216" spans="1:10" x14ac:dyDescent="0.25">
      <c r="A216" s="20">
        <v>215</v>
      </c>
      <c r="B216" s="21">
        <v>45967</v>
      </c>
      <c r="C216" s="20" t="s">
        <v>474</v>
      </c>
      <c r="D216" s="20" t="s">
        <v>497</v>
      </c>
      <c r="E216" s="20"/>
      <c r="F216" s="22" t="s">
        <v>765</v>
      </c>
      <c r="G216" s="23" t="s">
        <v>536</v>
      </c>
      <c r="H216" s="57">
        <v>0</v>
      </c>
      <c r="I216" s="57">
        <v>10</v>
      </c>
      <c r="J216" s="119">
        <v>-37467283.920000002</v>
      </c>
    </row>
    <row r="217" spans="1:10" ht="25.5" x14ac:dyDescent="0.25">
      <c r="A217" s="20">
        <v>216</v>
      </c>
      <c r="B217" s="21">
        <v>45967</v>
      </c>
      <c r="C217" s="20" t="s">
        <v>474</v>
      </c>
      <c r="D217" s="20" t="s">
        <v>787</v>
      </c>
      <c r="E217" s="20"/>
      <c r="F217" s="22" t="s">
        <v>879</v>
      </c>
      <c r="G217" s="23" t="s">
        <v>1098</v>
      </c>
      <c r="H217" s="57">
        <v>25</v>
      </c>
      <c r="I217" s="57">
        <v>0</v>
      </c>
      <c r="J217" s="119">
        <v>-39967283.920000002</v>
      </c>
    </row>
    <row r="218" spans="1:10" ht="25.5" x14ac:dyDescent="0.25">
      <c r="A218" s="20">
        <v>217</v>
      </c>
      <c r="B218" s="21">
        <v>45968</v>
      </c>
      <c r="C218" s="20" t="s">
        <v>474</v>
      </c>
      <c r="D218" s="23" t="s">
        <v>885</v>
      </c>
      <c r="E218" s="20"/>
      <c r="F218" s="22" t="s">
        <v>886</v>
      </c>
      <c r="G218" s="23" t="s">
        <v>1001</v>
      </c>
      <c r="H218" s="57">
        <v>0</v>
      </c>
      <c r="I218" s="57">
        <v>1.8</v>
      </c>
      <c r="J218" s="119">
        <v>-39787283.920000002</v>
      </c>
    </row>
    <row r="219" spans="1:10" x14ac:dyDescent="0.25">
      <c r="A219" s="20">
        <v>218</v>
      </c>
      <c r="B219" s="21">
        <v>45968</v>
      </c>
      <c r="C219" s="20" t="s">
        <v>474</v>
      </c>
      <c r="D219" s="20" t="s">
        <v>788</v>
      </c>
      <c r="E219" s="20"/>
      <c r="F219" s="22" t="s">
        <v>873</v>
      </c>
      <c r="G219" s="23" t="s">
        <v>1099</v>
      </c>
      <c r="H219" s="57">
        <v>1.2520100000000001</v>
      </c>
      <c r="I219" s="57">
        <v>0</v>
      </c>
      <c r="J219" s="119">
        <v>-39912484.920000002</v>
      </c>
    </row>
    <row r="220" spans="1:10" x14ac:dyDescent="0.25">
      <c r="A220" s="20">
        <v>219</v>
      </c>
      <c r="B220" s="21">
        <v>45968</v>
      </c>
      <c r="C220" s="20" t="s">
        <v>474</v>
      </c>
      <c r="D220" s="20" t="s">
        <v>788</v>
      </c>
      <c r="E220" s="20"/>
      <c r="F220" s="22" t="s">
        <v>873</v>
      </c>
      <c r="G220" s="23" t="s">
        <v>1100</v>
      </c>
      <c r="H220" s="57">
        <v>1.2659999999999999E-2</v>
      </c>
      <c r="I220" s="57">
        <v>0</v>
      </c>
      <c r="J220" s="119">
        <v>-39913750.920000002</v>
      </c>
    </row>
    <row r="221" spans="1:10" ht="25.5" x14ac:dyDescent="0.25">
      <c r="A221" s="20">
        <v>220</v>
      </c>
      <c r="B221" s="21">
        <v>45968</v>
      </c>
      <c r="C221" s="20" t="s">
        <v>474</v>
      </c>
      <c r="D221" s="20" t="s">
        <v>91</v>
      </c>
      <c r="E221" s="20"/>
      <c r="F221" s="22" t="s">
        <v>884</v>
      </c>
      <c r="G221" s="23" t="s">
        <v>944</v>
      </c>
      <c r="H221" s="57">
        <v>0</v>
      </c>
      <c r="I221" s="57">
        <v>1.65</v>
      </c>
      <c r="J221" s="119">
        <v>-39748750.920000002</v>
      </c>
    </row>
    <row r="222" spans="1:10" ht="25.5" x14ac:dyDescent="0.25">
      <c r="A222" s="20">
        <v>221</v>
      </c>
      <c r="B222" s="21">
        <v>45968</v>
      </c>
      <c r="C222" s="20" t="s">
        <v>474</v>
      </c>
      <c r="D222" s="22" t="s">
        <v>469</v>
      </c>
      <c r="E222" s="20"/>
      <c r="F222" s="22" t="s">
        <v>469</v>
      </c>
      <c r="G222" s="23" t="s">
        <v>1101</v>
      </c>
      <c r="H222" s="57">
        <v>0.11826</v>
      </c>
      <c r="I222" s="57">
        <v>0</v>
      </c>
      <c r="J222" s="119">
        <v>-39760576.920000002</v>
      </c>
    </row>
    <row r="223" spans="1:10" x14ac:dyDescent="0.25">
      <c r="A223" s="20">
        <v>222</v>
      </c>
      <c r="B223" s="21">
        <v>45968</v>
      </c>
      <c r="C223" s="20" t="s">
        <v>474</v>
      </c>
      <c r="D223" s="20" t="s">
        <v>888</v>
      </c>
      <c r="E223" s="20"/>
      <c r="F223" s="22" t="s">
        <v>125</v>
      </c>
      <c r="G223" s="23" t="s">
        <v>1102</v>
      </c>
      <c r="H223" s="57">
        <v>1.64</v>
      </c>
      <c r="I223" s="57">
        <v>0</v>
      </c>
      <c r="J223" s="119">
        <v>-39924576.920000002</v>
      </c>
    </row>
    <row r="224" spans="1:10" x14ac:dyDescent="0.25">
      <c r="A224" s="20">
        <v>223</v>
      </c>
      <c r="B224" s="21">
        <v>45968</v>
      </c>
      <c r="C224" s="20" t="s">
        <v>474</v>
      </c>
      <c r="D224" s="20" t="s">
        <v>888</v>
      </c>
      <c r="E224" s="20"/>
      <c r="F224" s="22" t="s">
        <v>298</v>
      </c>
      <c r="G224" s="23" t="s">
        <v>1103</v>
      </c>
      <c r="H224" s="57">
        <v>3.0599999999999998E-3</v>
      </c>
      <c r="I224" s="57">
        <v>0</v>
      </c>
      <c r="J224" s="119">
        <v>-39924882.920000002</v>
      </c>
    </row>
    <row r="225" spans="1:10" x14ac:dyDescent="0.25">
      <c r="A225" s="20">
        <v>224</v>
      </c>
      <c r="B225" s="21">
        <v>45971</v>
      </c>
      <c r="C225" s="20" t="s">
        <v>474</v>
      </c>
      <c r="D225" s="20" t="s">
        <v>91</v>
      </c>
      <c r="E225" s="20"/>
      <c r="F225" s="22" t="s">
        <v>884</v>
      </c>
      <c r="G225" s="23" t="s">
        <v>920</v>
      </c>
      <c r="H225" s="57">
        <v>0</v>
      </c>
      <c r="I225" s="57">
        <v>0.5</v>
      </c>
      <c r="J225" s="119">
        <v>-39874882.920000002</v>
      </c>
    </row>
    <row r="226" spans="1:10" ht="25.5" x14ac:dyDescent="0.25">
      <c r="A226" s="20">
        <v>225</v>
      </c>
      <c r="B226" s="21">
        <v>45971</v>
      </c>
      <c r="C226" s="20" t="s">
        <v>474</v>
      </c>
      <c r="D226" s="20" t="s">
        <v>759</v>
      </c>
      <c r="E226" s="20"/>
      <c r="F226" s="22" t="s">
        <v>901</v>
      </c>
      <c r="G226" s="23" t="s">
        <v>1104</v>
      </c>
      <c r="H226" s="57">
        <v>0.15</v>
      </c>
      <c r="I226" s="57">
        <v>0</v>
      </c>
      <c r="J226" s="119">
        <v>-39889882.920000002</v>
      </c>
    </row>
    <row r="227" spans="1:10" ht="25.5" x14ac:dyDescent="0.25">
      <c r="A227" s="20">
        <v>226</v>
      </c>
      <c r="B227" s="21">
        <v>45971</v>
      </c>
      <c r="C227" s="20" t="s">
        <v>474</v>
      </c>
      <c r="D227" s="20" t="s">
        <v>759</v>
      </c>
      <c r="E227" s="20"/>
      <c r="F227" s="22" t="s">
        <v>896</v>
      </c>
      <c r="G227" s="23" t="s">
        <v>1105</v>
      </c>
      <c r="H227" s="57">
        <v>0.45</v>
      </c>
      <c r="I227" s="57">
        <v>0</v>
      </c>
      <c r="J227" s="119">
        <v>-39934882.920000002</v>
      </c>
    </row>
    <row r="228" spans="1:10" ht="25.5" x14ac:dyDescent="0.25">
      <c r="A228" s="20">
        <v>227</v>
      </c>
      <c r="B228" s="21">
        <v>45971</v>
      </c>
      <c r="C228" s="20" t="s">
        <v>474</v>
      </c>
      <c r="D228" s="20" t="s">
        <v>759</v>
      </c>
      <c r="E228" s="20"/>
      <c r="F228" s="22" t="s">
        <v>908</v>
      </c>
      <c r="G228" s="23" t="s">
        <v>1106</v>
      </c>
      <c r="H228" s="57">
        <v>0.25</v>
      </c>
      <c r="I228" s="57">
        <v>0</v>
      </c>
      <c r="J228" s="119">
        <v>-39959882.920000002</v>
      </c>
    </row>
    <row r="229" spans="1:10" x14ac:dyDescent="0.25">
      <c r="A229" s="20">
        <v>228</v>
      </c>
      <c r="B229" s="21">
        <v>45972</v>
      </c>
      <c r="C229" s="20" t="s">
        <v>474</v>
      </c>
      <c r="D229" s="22" t="s">
        <v>469</v>
      </c>
      <c r="E229" s="20"/>
      <c r="F229" s="22" t="s">
        <v>469</v>
      </c>
      <c r="G229" s="23" t="s">
        <v>1107</v>
      </c>
      <c r="H229" s="57">
        <v>0.222</v>
      </c>
      <c r="I229" s="57">
        <v>0</v>
      </c>
      <c r="J229" s="119">
        <v>-39982082.920000002</v>
      </c>
    </row>
    <row r="230" spans="1:10" x14ac:dyDescent="0.25">
      <c r="A230" s="20">
        <v>229</v>
      </c>
      <c r="B230" s="21">
        <v>45973</v>
      </c>
      <c r="C230" s="20" t="s">
        <v>474</v>
      </c>
      <c r="D230" s="20" t="s">
        <v>788</v>
      </c>
      <c r="E230" s="20"/>
      <c r="F230" s="22" t="s">
        <v>870</v>
      </c>
      <c r="G230" s="23" t="s">
        <v>1108</v>
      </c>
      <c r="H230" s="57">
        <v>0</v>
      </c>
      <c r="I230" s="57">
        <v>10.20529</v>
      </c>
      <c r="J230" s="119">
        <v>-38961553.920000002</v>
      </c>
    </row>
    <row r="231" spans="1:10" x14ac:dyDescent="0.25">
      <c r="A231" s="20">
        <v>230</v>
      </c>
      <c r="B231" s="21">
        <v>45973</v>
      </c>
      <c r="C231" s="20" t="s">
        <v>474</v>
      </c>
      <c r="D231" s="20" t="s">
        <v>788</v>
      </c>
      <c r="E231" s="20"/>
      <c r="F231" s="22" t="s">
        <v>870</v>
      </c>
      <c r="G231" s="23" t="s">
        <v>1109</v>
      </c>
      <c r="H231" s="57">
        <v>0.15957499999999999</v>
      </c>
      <c r="I231" s="57">
        <v>0</v>
      </c>
      <c r="J231" s="119">
        <v>-38977511.420000002</v>
      </c>
    </row>
    <row r="232" spans="1:10" x14ac:dyDescent="0.25">
      <c r="A232" s="20">
        <v>231</v>
      </c>
      <c r="B232" s="21">
        <v>45973</v>
      </c>
      <c r="C232" s="20" t="s">
        <v>474</v>
      </c>
      <c r="D232" s="20" t="s">
        <v>91</v>
      </c>
      <c r="E232" s="20"/>
      <c r="F232" s="22" t="s">
        <v>884</v>
      </c>
      <c r="G232" s="23" t="s">
        <v>1010</v>
      </c>
      <c r="H232" s="57">
        <v>10</v>
      </c>
      <c r="I232" s="57">
        <v>0</v>
      </c>
      <c r="J232" s="119">
        <v>-39977511.420000002</v>
      </c>
    </row>
    <row r="233" spans="1:10" x14ac:dyDescent="0.25">
      <c r="A233" s="20">
        <v>232</v>
      </c>
      <c r="B233" s="21">
        <v>45974</v>
      </c>
      <c r="C233" s="20" t="s">
        <v>474</v>
      </c>
      <c r="D233" s="20" t="s">
        <v>497</v>
      </c>
      <c r="E233" s="20"/>
      <c r="F233" s="22" t="s">
        <v>918</v>
      </c>
      <c r="G233" s="23" t="s">
        <v>1110</v>
      </c>
      <c r="H233" s="57">
        <v>0</v>
      </c>
      <c r="I233" s="57">
        <v>8</v>
      </c>
      <c r="J233" s="119">
        <v>-39177511.420000002</v>
      </c>
    </row>
    <row r="234" spans="1:10" x14ac:dyDescent="0.25">
      <c r="A234" s="20">
        <v>233</v>
      </c>
      <c r="B234" s="21">
        <v>45974</v>
      </c>
      <c r="C234" s="20" t="s">
        <v>474</v>
      </c>
      <c r="D234" s="20" t="s">
        <v>91</v>
      </c>
      <c r="E234" s="20"/>
      <c r="F234" s="22" t="s">
        <v>884</v>
      </c>
      <c r="G234" s="23" t="s">
        <v>933</v>
      </c>
      <c r="H234" s="57">
        <v>8</v>
      </c>
      <c r="I234" s="57">
        <v>0</v>
      </c>
      <c r="J234" s="119">
        <v>-39977511.420000002</v>
      </c>
    </row>
    <row r="235" spans="1:10" x14ac:dyDescent="0.25">
      <c r="A235" s="20">
        <v>234</v>
      </c>
      <c r="B235" s="21">
        <v>45974</v>
      </c>
      <c r="C235" s="20" t="s">
        <v>474</v>
      </c>
      <c r="D235" s="20" t="s">
        <v>497</v>
      </c>
      <c r="E235" s="20"/>
      <c r="F235" s="22" t="s">
        <v>918</v>
      </c>
      <c r="G235" s="23" t="s">
        <v>1111</v>
      </c>
      <c r="H235" s="57">
        <v>0</v>
      </c>
      <c r="I235" s="57">
        <v>4</v>
      </c>
      <c r="J235" s="119">
        <v>-39577511.420000002</v>
      </c>
    </row>
    <row r="236" spans="1:10" x14ac:dyDescent="0.25">
      <c r="A236" s="20">
        <v>235</v>
      </c>
      <c r="B236" s="21">
        <v>45974</v>
      </c>
      <c r="C236" s="20" t="s">
        <v>474</v>
      </c>
      <c r="D236" s="20" t="s">
        <v>759</v>
      </c>
      <c r="E236" s="20"/>
      <c r="F236" s="22" t="s">
        <v>903</v>
      </c>
      <c r="G236" s="23" t="s">
        <v>1112</v>
      </c>
      <c r="H236" s="57">
        <v>0.36503999999999998</v>
      </c>
      <c r="I236" s="57">
        <v>0</v>
      </c>
      <c r="J236" s="119">
        <v>-39614015.420000002</v>
      </c>
    </row>
    <row r="237" spans="1:10" x14ac:dyDescent="0.25">
      <c r="A237" s="20">
        <v>236</v>
      </c>
      <c r="B237" s="21">
        <v>45974</v>
      </c>
      <c r="C237" s="20" t="s">
        <v>474</v>
      </c>
      <c r="D237" s="20" t="s">
        <v>91</v>
      </c>
      <c r="E237" s="20"/>
      <c r="F237" s="22" t="s">
        <v>884</v>
      </c>
      <c r="G237" s="23" t="s">
        <v>933</v>
      </c>
      <c r="H237" s="57">
        <v>3.7</v>
      </c>
      <c r="I237" s="57">
        <v>0</v>
      </c>
      <c r="J237" s="119">
        <v>-39984015.420000002</v>
      </c>
    </row>
    <row r="238" spans="1:10" x14ac:dyDescent="0.25">
      <c r="A238" s="20">
        <v>237</v>
      </c>
      <c r="B238" s="21">
        <v>45976</v>
      </c>
      <c r="C238" s="20" t="s">
        <v>474</v>
      </c>
      <c r="D238" s="20" t="s">
        <v>497</v>
      </c>
      <c r="E238" s="20"/>
      <c r="F238" s="22" t="s">
        <v>895</v>
      </c>
      <c r="G238" s="23" t="s">
        <v>1113</v>
      </c>
      <c r="H238" s="57">
        <v>0</v>
      </c>
      <c r="I238" s="57">
        <v>30</v>
      </c>
      <c r="J238" s="119">
        <v>-36984015.420000002</v>
      </c>
    </row>
    <row r="239" spans="1:10" x14ac:dyDescent="0.25">
      <c r="A239" s="20">
        <v>238</v>
      </c>
      <c r="B239" s="21">
        <v>45976</v>
      </c>
      <c r="C239" s="20" t="s">
        <v>474</v>
      </c>
      <c r="D239" s="20" t="s">
        <v>497</v>
      </c>
      <c r="E239" s="20"/>
      <c r="F239" s="22" t="s">
        <v>895</v>
      </c>
      <c r="G239" s="23" t="s">
        <v>1114</v>
      </c>
      <c r="H239" s="57">
        <v>0</v>
      </c>
      <c r="I239" s="57">
        <v>5</v>
      </c>
      <c r="J239" s="119">
        <v>-36484015.420000002</v>
      </c>
    </row>
    <row r="240" spans="1:10" x14ac:dyDescent="0.25">
      <c r="A240" s="20">
        <v>239</v>
      </c>
      <c r="B240" s="21">
        <v>45976</v>
      </c>
      <c r="C240" s="20" t="s">
        <v>474</v>
      </c>
      <c r="D240" s="20" t="s">
        <v>497</v>
      </c>
      <c r="E240" s="20"/>
      <c r="F240" s="22" t="s">
        <v>895</v>
      </c>
      <c r="G240" s="23" t="s">
        <v>1115</v>
      </c>
      <c r="H240" s="57">
        <v>0</v>
      </c>
      <c r="I240" s="57">
        <v>25</v>
      </c>
      <c r="J240" s="119">
        <v>-33984015.420000002</v>
      </c>
    </row>
    <row r="241" spans="1:10" x14ac:dyDescent="0.25">
      <c r="A241" s="20">
        <v>240</v>
      </c>
      <c r="B241" s="21">
        <v>45976</v>
      </c>
      <c r="C241" s="20" t="s">
        <v>474</v>
      </c>
      <c r="D241" s="20" t="s">
        <v>759</v>
      </c>
      <c r="E241" s="20"/>
      <c r="F241" s="22" t="s">
        <v>765</v>
      </c>
      <c r="G241" s="23" t="s">
        <v>1116</v>
      </c>
      <c r="H241" s="57">
        <v>20</v>
      </c>
      <c r="I241" s="57">
        <v>0</v>
      </c>
      <c r="J241" s="119">
        <v>-35984015.420000002</v>
      </c>
    </row>
    <row r="242" spans="1:10" ht="25.5" x14ac:dyDescent="0.25">
      <c r="A242" s="20">
        <v>241</v>
      </c>
      <c r="B242" s="21">
        <v>45976</v>
      </c>
      <c r="C242" s="20" t="s">
        <v>474</v>
      </c>
      <c r="D242" s="23" t="s">
        <v>885</v>
      </c>
      <c r="E242" s="20"/>
      <c r="F242" s="22" t="s">
        <v>886</v>
      </c>
      <c r="G242" s="23" t="s">
        <v>1117</v>
      </c>
      <c r="H242" s="57">
        <v>10</v>
      </c>
      <c r="I242" s="57">
        <v>0</v>
      </c>
      <c r="J242" s="119">
        <v>-36984015.420000002</v>
      </c>
    </row>
    <row r="243" spans="1:10" x14ac:dyDescent="0.25">
      <c r="A243" s="20">
        <v>242</v>
      </c>
      <c r="B243" s="21">
        <v>45976</v>
      </c>
      <c r="C243" s="20" t="s">
        <v>474</v>
      </c>
      <c r="D243" s="20" t="s">
        <v>888</v>
      </c>
      <c r="E243" s="20"/>
      <c r="F243" s="22" t="s">
        <v>892</v>
      </c>
      <c r="G243" s="23" t="s">
        <v>1118</v>
      </c>
      <c r="H243" s="57">
        <v>4.0515799999999998E-2</v>
      </c>
      <c r="I243" s="57">
        <v>0</v>
      </c>
      <c r="J243" s="119">
        <v>-36988067</v>
      </c>
    </row>
    <row r="244" spans="1:10" x14ac:dyDescent="0.25">
      <c r="A244" s="20">
        <v>243</v>
      </c>
      <c r="B244" s="21">
        <v>45976</v>
      </c>
      <c r="C244" s="20" t="s">
        <v>474</v>
      </c>
      <c r="D244" s="20" t="s">
        <v>91</v>
      </c>
      <c r="E244" s="20"/>
      <c r="F244" s="22" t="s">
        <v>884</v>
      </c>
      <c r="G244" s="23" t="s">
        <v>933</v>
      </c>
      <c r="H244" s="57">
        <v>5</v>
      </c>
      <c r="I244" s="57">
        <v>0</v>
      </c>
      <c r="J244" s="119">
        <v>-37488067</v>
      </c>
    </row>
    <row r="245" spans="1:10" ht="25.5" x14ac:dyDescent="0.25">
      <c r="A245" s="20">
        <v>244</v>
      </c>
      <c r="B245" s="21">
        <v>45976</v>
      </c>
      <c r="C245" s="20" t="s">
        <v>474</v>
      </c>
      <c r="D245" s="20" t="s">
        <v>759</v>
      </c>
      <c r="E245" s="20"/>
      <c r="F245" s="22" t="s">
        <v>907</v>
      </c>
      <c r="G245" s="23" t="s">
        <v>1119</v>
      </c>
      <c r="H245" s="57">
        <v>6.0761599999999998</v>
      </c>
      <c r="I245" s="57">
        <v>0</v>
      </c>
      <c r="J245" s="119">
        <v>-38095683</v>
      </c>
    </row>
    <row r="246" spans="1:10" ht="25.5" x14ac:dyDescent="0.25">
      <c r="A246" s="20">
        <v>245</v>
      </c>
      <c r="B246" s="21">
        <v>45978</v>
      </c>
      <c r="C246" s="20" t="s">
        <v>474</v>
      </c>
      <c r="D246" s="20" t="s">
        <v>497</v>
      </c>
      <c r="E246" s="20"/>
      <c r="F246" s="22" t="s">
        <v>801</v>
      </c>
      <c r="G246" s="23" t="s">
        <v>1120</v>
      </c>
      <c r="H246" s="57">
        <v>0</v>
      </c>
      <c r="I246" s="57">
        <v>3.8</v>
      </c>
      <c r="J246" s="119">
        <v>-37715683</v>
      </c>
    </row>
    <row r="247" spans="1:10" ht="25.5" x14ac:dyDescent="0.25">
      <c r="A247" s="20">
        <v>246</v>
      </c>
      <c r="B247" s="21">
        <v>45978</v>
      </c>
      <c r="C247" s="20" t="s">
        <v>474</v>
      </c>
      <c r="D247" s="23" t="s">
        <v>885</v>
      </c>
      <c r="E247" s="20"/>
      <c r="F247" s="22" t="s">
        <v>886</v>
      </c>
      <c r="G247" s="23" t="s">
        <v>931</v>
      </c>
      <c r="H247" s="57">
        <v>3</v>
      </c>
      <c r="I247" s="57">
        <v>0</v>
      </c>
      <c r="J247" s="119">
        <v>-38015683</v>
      </c>
    </row>
    <row r="248" spans="1:10" x14ac:dyDescent="0.25">
      <c r="A248" s="20">
        <v>247</v>
      </c>
      <c r="B248" s="21">
        <v>45979</v>
      </c>
      <c r="C248" s="20" t="s">
        <v>474</v>
      </c>
      <c r="D248" s="20" t="s">
        <v>91</v>
      </c>
      <c r="E248" s="20"/>
      <c r="F248" s="22" t="s">
        <v>884</v>
      </c>
      <c r="G248" s="23" t="s">
        <v>1121</v>
      </c>
      <c r="H248" s="57">
        <v>5</v>
      </c>
      <c r="I248" s="57">
        <v>0</v>
      </c>
      <c r="J248" s="119">
        <v>-38515683</v>
      </c>
    </row>
    <row r="249" spans="1:10" x14ac:dyDescent="0.25">
      <c r="A249" s="20">
        <v>248</v>
      </c>
      <c r="B249" s="21">
        <v>45979</v>
      </c>
      <c r="C249" s="20" t="s">
        <v>474</v>
      </c>
      <c r="D249" s="20" t="s">
        <v>91</v>
      </c>
      <c r="E249" s="20"/>
      <c r="F249" s="22" t="s">
        <v>884</v>
      </c>
      <c r="G249" s="23" t="s">
        <v>1122</v>
      </c>
      <c r="H249" s="57">
        <v>10</v>
      </c>
      <c r="I249" s="57">
        <v>0</v>
      </c>
      <c r="J249" s="119">
        <v>-39515683</v>
      </c>
    </row>
    <row r="250" spans="1:10" x14ac:dyDescent="0.25">
      <c r="A250" s="20">
        <v>249</v>
      </c>
      <c r="B250" s="21">
        <v>45979</v>
      </c>
      <c r="C250" s="20" t="s">
        <v>474</v>
      </c>
      <c r="D250" s="20" t="s">
        <v>888</v>
      </c>
      <c r="E250" s="20"/>
      <c r="F250" s="22" t="s">
        <v>125</v>
      </c>
      <c r="G250" s="23" t="s">
        <v>1123</v>
      </c>
      <c r="H250" s="57">
        <v>2.2255400000000001</v>
      </c>
      <c r="I250" s="57">
        <v>0</v>
      </c>
      <c r="J250" s="119">
        <v>-39738237</v>
      </c>
    </row>
    <row r="251" spans="1:10" x14ac:dyDescent="0.25">
      <c r="A251" s="20">
        <v>250</v>
      </c>
      <c r="B251" s="21">
        <v>45979</v>
      </c>
      <c r="C251" s="20" t="s">
        <v>474</v>
      </c>
      <c r="D251" s="20" t="s">
        <v>140</v>
      </c>
      <c r="E251" s="20"/>
      <c r="F251" s="22" t="s">
        <v>141</v>
      </c>
      <c r="G251" s="23" t="s">
        <v>1124</v>
      </c>
      <c r="H251" s="57">
        <v>1</v>
      </c>
      <c r="I251" s="57">
        <v>0</v>
      </c>
      <c r="J251" s="119">
        <v>-39838237</v>
      </c>
    </row>
    <row r="252" spans="1:10" x14ac:dyDescent="0.25">
      <c r="A252" s="20">
        <v>251</v>
      </c>
      <c r="B252" s="21">
        <v>45980</v>
      </c>
      <c r="C252" s="20" t="s">
        <v>474</v>
      </c>
      <c r="D252" s="20" t="s">
        <v>91</v>
      </c>
      <c r="E252" s="20"/>
      <c r="F252" s="22" t="s">
        <v>884</v>
      </c>
      <c r="G252" s="23" t="s">
        <v>1125</v>
      </c>
      <c r="H252" s="57">
        <v>1.5</v>
      </c>
      <c r="I252" s="57">
        <v>0</v>
      </c>
      <c r="J252" s="119">
        <v>-39988237</v>
      </c>
    </row>
    <row r="253" spans="1:10" x14ac:dyDescent="0.25">
      <c r="A253" s="20">
        <v>252</v>
      </c>
      <c r="B253" s="21">
        <v>45980</v>
      </c>
      <c r="C253" s="20" t="s">
        <v>474</v>
      </c>
      <c r="D253" s="20" t="s">
        <v>497</v>
      </c>
      <c r="E253" s="20"/>
      <c r="F253" s="22" t="s">
        <v>916</v>
      </c>
      <c r="G253" s="23" t="s">
        <v>1126</v>
      </c>
      <c r="H253" s="57">
        <v>0</v>
      </c>
      <c r="I253" s="57">
        <v>15</v>
      </c>
      <c r="J253" s="119">
        <v>-38488237</v>
      </c>
    </row>
    <row r="254" spans="1:10" x14ac:dyDescent="0.25">
      <c r="A254" s="20">
        <v>253</v>
      </c>
      <c r="B254" s="21">
        <v>45981</v>
      </c>
      <c r="C254" s="20" t="s">
        <v>474</v>
      </c>
      <c r="D254" s="20" t="s">
        <v>91</v>
      </c>
      <c r="E254" s="20"/>
      <c r="F254" s="22" t="s">
        <v>884</v>
      </c>
      <c r="G254" s="23" t="s">
        <v>1127</v>
      </c>
      <c r="H254" s="57">
        <v>5</v>
      </c>
      <c r="I254" s="57">
        <v>0</v>
      </c>
      <c r="J254" s="119">
        <v>-38988237</v>
      </c>
    </row>
    <row r="255" spans="1:10" ht="25.5" x14ac:dyDescent="0.25">
      <c r="A255" s="20">
        <v>254</v>
      </c>
      <c r="B255" s="21">
        <v>45981</v>
      </c>
      <c r="C255" s="20" t="s">
        <v>474</v>
      </c>
      <c r="D255" s="20" t="s">
        <v>759</v>
      </c>
      <c r="E255" s="20"/>
      <c r="F255" s="22" t="s">
        <v>895</v>
      </c>
      <c r="G255" s="23" t="s">
        <v>1128</v>
      </c>
      <c r="H255" s="57">
        <v>10</v>
      </c>
      <c r="I255" s="57">
        <v>0</v>
      </c>
      <c r="J255" s="119">
        <v>-39988237</v>
      </c>
    </row>
    <row r="256" spans="1:10" ht="25.5" x14ac:dyDescent="0.25">
      <c r="A256" s="20">
        <v>255</v>
      </c>
      <c r="B256" s="21">
        <v>45982</v>
      </c>
      <c r="C256" s="20" t="s">
        <v>474</v>
      </c>
      <c r="D256" s="23" t="s">
        <v>885</v>
      </c>
      <c r="E256" s="20"/>
      <c r="F256" s="22" t="s">
        <v>886</v>
      </c>
      <c r="G256" s="23" t="s">
        <v>931</v>
      </c>
      <c r="H256" s="57">
        <v>0.1</v>
      </c>
      <c r="I256" s="57">
        <v>0</v>
      </c>
      <c r="J256" s="119">
        <v>-39998237</v>
      </c>
    </row>
    <row r="257" spans="1:10" x14ac:dyDescent="0.25">
      <c r="A257" s="20">
        <v>256</v>
      </c>
      <c r="B257" s="21">
        <v>45985</v>
      </c>
      <c r="C257" s="20" t="s">
        <v>474</v>
      </c>
      <c r="D257" s="20" t="s">
        <v>91</v>
      </c>
      <c r="E257" s="20"/>
      <c r="F257" s="22" t="s">
        <v>884</v>
      </c>
      <c r="G257" s="23" t="s">
        <v>959</v>
      </c>
      <c r="H257" s="57">
        <v>0</v>
      </c>
      <c r="I257" s="57">
        <v>0.2</v>
      </c>
      <c r="J257" s="119">
        <v>-39978237</v>
      </c>
    </row>
    <row r="258" spans="1:10" x14ac:dyDescent="0.25">
      <c r="A258" s="20">
        <v>257</v>
      </c>
      <c r="B258" s="21">
        <v>45985</v>
      </c>
      <c r="C258" s="20" t="s">
        <v>474</v>
      </c>
      <c r="D258" s="20" t="s">
        <v>759</v>
      </c>
      <c r="E258" s="20"/>
      <c r="F258" s="22" t="s">
        <v>789</v>
      </c>
      <c r="G258" s="23" t="s">
        <v>1129</v>
      </c>
      <c r="H258" s="57">
        <v>2.5315399999999998E-2</v>
      </c>
      <c r="I258" s="57">
        <v>0</v>
      </c>
      <c r="J258" s="119">
        <v>-39980768.539999999</v>
      </c>
    </row>
    <row r="259" spans="1:10" x14ac:dyDescent="0.25">
      <c r="A259" s="20">
        <v>258</v>
      </c>
      <c r="B259" s="21">
        <v>45986</v>
      </c>
      <c r="C259" s="20" t="s">
        <v>474</v>
      </c>
      <c r="D259" s="20" t="s">
        <v>497</v>
      </c>
      <c r="E259" s="20"/>
      <c r="F259" s="22" t="s">
        <v>918</v>
      </c>
      <c r="G259" s="23" t="s">
        <v>1130</v>
      </c>
      <c r="H259" s="57">
        <v>0</v>
      </c>
      <c r="I259" s="57">
        <v>14.5</v>
      </c>
      <c r="J259" s="119">
        <v>-38530768.539999999</v>
      </c>
    </row>
    <row r="260" spans="1:10" x14ac:dyDescent="0.25">
      <c r="A260" s="20">
        <v>259</v>
      </c>
      <c r="B260" s="21">
        <v>45986</v>
      </c>
      <c r="C260" s="20" t="s">
        <v>474</v>
      </c>
      <c r="D260" s="20" t="s">
        <v>91</v>
      </c>
      <c r="E260" s="20"/>
      <c r="F260" s="22" t="s">
        <v>884</v>
      </c>
      <c r="G260" s="23" t="s">
        <v>977</v>
      </c>
      <c r="H260" s="57">
        <v>14.5</v>
      </c>
      <c r="I260" s="57">
        <v>0</v>
      </c>
      <c r="J260" s="119">
        <v>-39980768.539999999</v>
      </c>
    </row>
    <row r="261" spans="1:10" ht="25.5" x14ac:dyDescent="0.25">
      <c r="A261" s="20">
        <v>260</v>
      </c>
      <c r="B261" s="21">
        <v>45986</v>
      </c>
      <c r="C261" s="20" t="s">
        <v>474</v>
      </c>
      <c r="D261" s="20" t="s">
        <v>759</v>
      </c>
      <c r="E261" s="20"/>
      <c r="F261" s="22" t="s">
        <v>904</v>
      </c>
      <c r="G261" s="23" t="s">
        <v>1131</v>
      </c>
      <c r="H261" s="57">
        <v>0.05</v>
      </c>
      <c r="I261" s="57">
        <v>0</v>
      </c>
      <c r="J261" s="119">
        <v>-39985768.539999999</v>
      </c>
    </row>
    <row r="262" spans="1:10" ht="25.5" x14ac:dyDescent="0.25">
      <c r="A262" s="20">
        <v>261</v>
      </c>
      <c r="B262" s="21">
        <v>45986</v>
      </c>
      <c r="C262" s="20" t="s">
        <v>474</v>
      </c>
      <c r="D262" s="20" t="s">
        <v>497</v>
      </c>
      <c r="E262" s="20"/>
      <c r="F262" s="22" t="s">
        <v>801</v>
      </c>
      <c r="G262" s="23" t="s">
        <v>1132</v>
      </c>
      <c r="H262" s="57">
        <v>0</v>
      </c>
      <c r="I262" s="57">
        <v>2.3317399999999999</v>
      </c>
      <c r="J262" s="119">
        <v>-39752594.539999999</v>
      </c>
    </row>
    <row r="263" spans="1:10" x14ac:dyDescent="0.25">
      <c r="A263" s="20">
        <v>262</v>
      </c>
      <c r="B263" s="21">
        <v>45986</v>
      </c>
      <c r="C263" s="20" t="s">
        <v>474</v>
      </c>
      <c r="D263" s="20" t="s">
        <v>91</v>
      </c>
      <c r="E263" s="20"/>
      <c r="F263" s="22" t="s">
        <v>884</v>
      </c>
      <c r="G263" s="23" t="s">
        <v>959</v>
      </c>
      <c r="H263" s="57">
        <v>0</v>
      </c>
      <c r="I263" s="57">
        <v>3</v>
      </c>
      <c r="J263" s="119">
        <v>-39452594.539999999</v>
      </c>
    </row>
    <row r="264" spans="1:10" ht="25.5" x14ac:dyDescent="0.25">
      <c r="A264" s="20">
        <v>263</v>
      </c>
      <c r="B264" s="21">
        <v>45986</v>
      </c>
      <c r="C264" s="20" t="s">
        <v>474</v>
      </c>
      <c r="D264" s="20" t="s">
        <v>759</v>
      </c>
      <c r="E264" s="20"/>
      <c r="F264" s="22" t="s">
        <v>898</v>
      </c>
      <c r="G264" s="23" t="s">
        <v>1133</v>
      </c>
      <c r="H264" s="57">
        <v>5</v>
      </c>
      <c r="I264" s="57">
        <v>0</v>
      </c>
      <c r="J264" s="119">
        <v>-39952594.539999999</v>
      </c>
    </row>
    <row r="265" spans="1:10" x14ac:dyDescent="0.25">
      <c r="A265" s="20">
        <v>264</v>
      </c>
      <c r="B265" s="21">
        <v>45987</v>
      </c>
      <c r="C265" s="20" t="s">
        <v>474</v>
      </c>
      <c r="D265" s="20" t="s">
        <v>91</v>
      </c>
      <c r="E265" s="20"/>
      <c r="F265" s="22" t="s">
        <v>884</v>
      </c>
      <c r="G265" s="23" t="s">
        <v>959</v>
      </c>
      <c r="H265" s="57">
        <v>0</v>
      </c>
      <c r="I265" s="57">
        <v>5</v>
      </c>
      <c r="J265" s="119">
        <v>-39452594.539999999</v>
      </c>
    </row>
    <row r="266" spans="1:10" ht="25.5" x14ac:dyDescent="0.25">
      <c r="A266" s="20">
        <v>265</v>
      </c>
      <c r="B266" s="21">
        <v>45987</v>
      </c>
      <c r="C266" s="20" t="s">
        <v>474</v>
      </c>
      <c r="D266" s="20" t="s">
        <v>759</v>
      </c>
      <c r="E266" s="20"/>
      <c r="F266" s="22" t="s">
        <v>898</v>
      </c>
      <c r="G266" s="23" t="s">
        <v>1134</v>
      </c>
      <c r="H266" s="57">
        <v>5</v>
      </c>
      <c r="I266" s="57">
        <v>0</v>
      </c>
      <c r="J266" s="119">
        <v>-39952594.539999999</v>
      </c>
    </row>
    <row r="267" spans="1:10" x14ac:dyDescent="0.25">
      <c r="A267" s="20">
        <v>266</v>
      </c>
      <c r="B267" s="21">
        <v>45988</v>
      </c>
      <c r="C267" s="20" t="s">
        <v>474</v>
      </c>
      <c r="D267" s="20" t="s">
        <v>497</v>
      </c>
      <c r="E267" s="20"/>
      <c r="F267" s="22" t="s">
        <v>916</v>
      </c>
      <c r="G267" s="23" t="s">
        <v>1135</v>
      </c>
      <c r="H267" s="57">
        <v>0</v>
      </c>
      <c r="I267" s="57">
        <v>14</v>
      </c>
      <c r="J267" s="119">
        <v>-38552594.539999999</v>
      </c>
    </row>
    <row r="268" spans="1:10" x14ac:dyDescent="0.25">
      <c r="A268" s="20">
        <v>267</v>
      </c>
      <c r="B268" s="21">
        <v>45988</v>
      </c>
      <c r="C268" s="20" t="s">
        <v>474</v>
      </c>
      <c r="D268" s="20" t="s">
        <v>91</v>
      </c>
      <c r="E268" s="20"/>
      <c r="F268" s="22" t="s">
        <v>884</v>
      </c>
      <c r="G268" s="23" t="s">
        <v>977</v>
      </c>
      <c r="H268" s="57">
        <v>14</v>
      </c>
      <c r="I268" s="57">
        <v>0</v>
      </c>
      <c r="J268" s="119">
        <v>-39952594.539999999</v>
      </c>
    </row>
    <row r="269" spans="1:10" x14ac:dyDescent="0.25">
      <c r="A269" s="20">
        <v>268</v>
      </c>
      <c r="B269" s="21">
        <v>45988</v>
      </c>
      <c r="C269" s="20" t="s">
        <v>474</v>
      </c>
      <c r="D269" s="20" t="s">
        <v>788</v>
      </c>
      <c r="E269" s="20"/>
      <c r="F269" s="22" t="s">
        <v>870</v>
      </c>
      <c r="G269" s="23" t="s">
        <v>1136</v>
      </c>
      <c r="H269" s="57">
        <v>0.17360500000000001</v>
      </c>
      <c r="I269" s="57">
        <v>0</v>
      </c>
      <c r="J269" s="119">
        <v>-39969955.039999999</v>
      </c>
    </row>
    <row r="270" spans="1:10" x14ac:dyDescent="0.25">
      <c r="A270" s="20">
        <v>269</v>
      </c>
      <c r="B270" s="21">
        <v>45988</v>
      </c>
      <c r="C270" s="20" t="s">
        <v>474</v>
      </c>
      <c r="D270" s="20" t="s">
        <v>788</v>
      </c>
      <c r="E270" s="20"/>
      <c r="F270" s="22" t="s">
        <v>870</v>
      </c>
      <c r="G270" s="23" t="s">
        <v>1137</v>
      </c>
      <c r="H270" s="57">
        <v>0</v>
      </c>
      <c r="I270" s="57">
        <v>11.78837</v>
      </c>
      <c r="J270" s="119">
        <v>-38791118.039999999</v>
      </c>
    </row>
    <row r="271" spans="1:10" x14ac:dyDescent="0.25">
      <c r="A271" s="20">
        <v>270</v>
      </c>
      <c r="B271" s="21">
        <v>45988</v>
      </c>
      <c r="C271" s="20" t="s">
        <v>474</v>
      </c>
      <c r="D271" s="20" t="s">
        <v>888</v>
      </c>
      <c r="E271" s="20"/>
      <c r="F271" s="22" t="s">
        <v>889</v>
      </c>
      <c r="G271" s="23" t="s">
        <v>1138</v>
      </c>
      <c r="H271" s="57">
        <v>0.53303540000000005</v>
      </c>
      <c r="I271" s="57">
        <v>0</v>
      </c>
      <c r="J271" s="119">
        <v>-38844421.579999998</v>
      </c>
    </row>
    <row r="272" spans="1:10" ht="25.5" x14ac:dyDescent="0.25">
      <c r="A272" s="20">
        <v>271</v>
      </c>
      <c r="B272" s="21">
        <v>45988</v>
      </c>
      <c r="C272" s="20" t="s">
        <v>474</v>
      </c>
      <c r="D272" s="20" t="s">
        <v>759</v>
      </c>
      <c r="E272" s="20"/>
      <c r="F272" s="22" t="s">
        <v>913</v>
      </c>
      <c r="G272" s="23" t="s">
        <v>1139</v>
      </c>
      <c r="H272" s="57">
        <v>0.30974000000000002</v>
      </c>
      <c r="I272" s="57">
        <v>0</v>
      </c>
      <c r="J272" s="119">
        <v>-38875395.579999998</v>
      </c>
    </row>
    <row r="273" spans="1:10" x14ac:dyDescent="0.25">
      <c r="A273" s="20">
        <v>272</v>
      </c>
      <c r="B273" s="21">
        <v>45988</v>
      </c>
      <c r="C273" s="20" t="s">
        <v>474</v>
      </c>
      <c r="D273" s="20" t="s">
        <v>759</v>
      </c>
      <c r="E273" s="20"/>
      <c r="F273" s="22" t="s">
        <v>911</v>
      </c>
      <c r="G273" s="23" t="s">
        <v>1140</v>
      </c>
      <c r="H273" s="57">
        <v>1.23</v>
      </c>
      <c r="I273" s="57">
        <v>0</v>
      </c>
      <c r="J273" s="119">
        <v>-38998395.579999998</v>
      </c>
    </row>
    <row r="274" spans="1:10" ht="25.5" x14ac:dyDescent="0.25">
      <c r="A274" s="20">
        <v>273</v>
      </c>
      <c r="B274" s="21">
        <v>45989</v>
      </c>
      <c r="C274" s="20" t="s">
        <v>474</v>
      </c>
      <c r="D274" s="20" t="s">
        <v>759</v>
      </c>
      <c r="E274" s="20"/>
      <c r="F274" s="22" t="s">
        <v>898</v>
      </c>
      <c r="G274" s="23" t="s">
        <v>1141</v>
      </c>
      <c r="H274" s="57">
        <v>5</v>
      </c>
      <c r="I274" s="57">
        <v>0</v>
      </c>
      <c r="J274" s="119">
        <v>-39498395.579999998</v>
      </c>
    </row>
    <row r="275" spans="1:10" x14ac:dyDescent="0.25">
      <c r="A275" s="20">
        <v>274</v>
      </c>
      <c r="B275" s="21">
        <v>45989</v>
      </c>
      <c r="C275" s="20" t="s">
        <v>474</v>
      </c>
      <c r="D275" s="20" t="s">
        <v>91</v>
      </c>
      <c r="E275" s="20"/>
      <c r="F275" s="22" t="s">
        <v>884</v>
      </c>
      <c r="G275" s="23" t="s">
        <v>1010</v>
      </c>
      <c r="H275" s="57">
        <v>5</v>
      </c>
      <c r="I275" s="57">
        <v>0</v>
      </c>
      <c r="J275" s="119">
        <v>-39998395.579999998</v>
      </c>
    </row>
    <row r="276" spans="1:10" ht="25.5" x14ac:dyDescent="0.25">
      <c r="A276" s="20">
        <v>275</v>
      </c>
      <c r="B276" s="21">
        <v>45990</v>
      </c>
      <c r="C276" s="20" t="s">
        <v>474</v>
      </c>
      <c r="D276" s="20" t="s">
        <v>91</v>
      </c>
      <c r="E276" s="20"/>
      <c r="F276" s="22" t="s">
        <v>884</v>
      </c>
      <c r="G276" s="23" t="s">
        <v>944</v>
      </c>
      <c r="H276" s="57">
        <v>0</v>
      </c>
      <c r="I276" s="57">
        <v>4</v>
      </c>
      <c r="J276" s="119">
        <v>-39598395.579999998</v>
      </c>
    </row>
    <row r="277" spans="1:10" x14ac:dyDescent="0.25">
      <c r="A277" s="20">
        <v>276</v>
      </c>
      <c r="B277" s="21">
        <v>45990</v>
      </c>
      <c r="C277" s="20" t="s">
        <v>474</v>
      </c>
      <c r="D277" s="20" t="s">
        <v>759</v>
      </c>
      <c r="E277" s="20"/>
      <c r="F277" s="22" t="s">
        <v>898</v>
      </c>
      <c r="G277" s="23" t="s">
        <v>1142</v>
      </c>
      <c r="H277" s="57">
        <v>2</v>
      </c>
      <c r="I277" s="57">
        <v>0</v>
      </c>
      <c r="J277" s="119">
        <v>-39798395.579999998</v>
      </c>
    </row>
    <row r="278" spans="1:10" ht="25.5" x14ac:dyDescent="0.25">
      <c r="A278" s="20">
        <v>277</v>
      </c>
      <c r="B278" s="21">
        <v>45990</v>
      </c>
      <c r="C278" s="20" t="s">
        <v>474</v>
      </c>
      <c r="D278" s="23" t="s">
        <v>885</v>
      </c>
      <c r="E278" s="20"/>
      <c r="F278" s="22" t="s">
        <v>886</v>
      </c>
      <c r="G278" s="23" t="s">
        <v>931</v>
      </c>
      <c r="H278" s="57">
        <v>2</v>
      </c>
      <c r="I278" s="57">
        <v>0</v>
      </c>
      <c r="J278" s="119">
        <v>-39998395.579999998</v>
      </c>
    </row>
    <row r="279" spans="1:10" x14ac:dyDescent="0.25">
      <c r="A279" s="20">
        <v>278</v>
      </c>
      <c r="B279" s="21">
        <v>45991</v>
      </c>
      <c r="C279" s="20" t="s">
        <v>474</v>
      </c>
      <c r="D279" s="20" t="s">
        <v>752</v>
      </c>
      <c r="E279" s="20"/>
      <c r="F279" s="22" t="s">
        <v>874</v>
      </c>
      <c r="G279" s="23" t="s">
        <v>1143</v>
      </c>
      <c r="H279" s="57">
        <v>3.1647099999999999</v>
      </c>
      <c r="I279" s="57">
        <v>0</v>
      </c>
      <c r="J279" s="119">
        <v>-40314866.579999998</v>
      </c>
    </row>
    <row r="280" spans="1:10" x14ac:dyDescent="0.25">
      <c r="A280" s="20">
        <v>279</v>
      </c>
      <c r="B280" s="21">
        <v>45995</v>
      </c>
      <c r="C280" s="20" t="s">
        <v>581</v>
      </c>
      <c r="D280" s="20" t="s">
        <v>497</v>
      </c>
      <c r="E280" s="20"/>
      <c r="F280" s="22" t="s">
        <v>895</v>
      </c>
      <c r="G280" s="23" t="s">
        <v>1144</v>
      </c>
      <c r="H280" s="57">
        <v>0</v>
      </c>
      <c r="I280" s="57">
        <v>50</v>
      </c>
      <c r="J280" s="119">
        <v>-35314866.579999998</v>
      </c>
    </row>
    <row r="281" spans="1:10" x14ac:dyDescent="0.25">
      <c r="A281" s="20">
        <v>280</v>
      </c>
      <c r="B281" s="21">
        <v>45995</v>
      </c>
      <c r="C281" s="20" t="s">
        <v>581</v>
      </c>
      <c r="D281" s="20" t="s">
        <v>91</v>
      </c>
      <c r="E281" s="20"/>
      <c r="F281" s="22" t="s">
        <v>884</v>
      </c>
      <c r="G281" s="23" t="s">
        <v>1145</v>
      </c>
      <c r="H281" s="57">
        <v>20</v>
      </c>
      <c r="I281" s="57">
        <v>0</v>
      </c>
      <c r="J281" s="119">
        <v>-37314866.579999998</v>
      </c>
    </row>
    <row r="282" spans="1:10" x14ac:dyDescent="0.25">
      <c r="A282" s="20">
        <v>281</v>
      </c>
      <c r="B282" s="21">
        <v>45995</v>
      </c>
      <c r="C282" s="20" t="s">
        <v>581</v>
      </c>
      <c r="D282" s="20" t="s">
        <v>888</v>
      </c>
      <c r="E282" s="20"/>
      <c r="F282" s="22" t="s">
        <v>298</v>
      </c>
      <c r="G282" s="23" t="s">
        <v>1146</v>
      </c>
      <c r="H282" s="57">
        <v>1.4999999999999999E-2</v>
      </c>
      <c r="I282" s="57">
        <v>0</v>
      </c>
      <c r="J282" s="119">
        <v>-37316366.579999998</v>
      </c>
    </row>
    <row r="283" spans="1:10" ht="25.5" x14ac:dyDescent="0.25">
      <c r="A283" s="20">
        <v>282</v>
      </c>
      <c r="B283" s="21">
        <v>45995</v>
      </c>
      <c r="C283" s="20" t="s">
        <v>581</v>
      </c>
      <c r="D283" s="20" t="s">
        <v>759</v>
      </c>
      <c r="E283" s="20"/>
      <c r="F283" s="22" t="s">
        <v>904</v>
      </c>
      <c r="G283" s="23" t="s">
        <v>1147</v>
      </c>
      <c r="H283" s="57">
        <v>0.12</v>
      </c>
      <c r="I283" s="57">
        <v>0</v>
      </c>
      <c r="J283" s="119">
        <v>-37328366.579999998</v>
      </c>
    </row>
    <row r="284" spans="1:10" x14ac:dyDescent="0.25">
      <c r="A284" s="20">
        <v>283</v>
      </c>
      <c r="B284" s="21">
        <v>45996</v>
      </c>
      <c r="C284" s="20" t="s">
        <v>581</v>
      </c>
      <c r="D284" s="20" t="s">
        <v>497</v>
      </c>
      <c r="E284" s="20"/>
      <c r="F284" s="22" t="s">
        <v>895</v>
      </c>
      <c r="G284" s="23" t="s">
        <v>1148</v>
      </c>
      <c r="H284" s="57">
        <v>0</v>
      </c>
      <c r="I284" s="57">
        <v>20</v>
      </c>
      <c r="J284" s="119">
        <v>-35328366.579999998</v>
      </c>
    </row>
    <row r="285" spans="1:10" x14ac:dyDescent="0.25">
      <c r="A285" s="20">
        <v>284</v>
      </c>
      <c r="B285" s="21">
        <v>45996</v>
      </c>
      <c r="C285" s="20" t="s">
        <v>581</v>
      </c>
      <c r="D285" s="20" t="s">
        <v>91</v>
      </c>
      <c r="E285" s="20"/>
      <c r="F285" s="22" t="s">
        <v>884</v>
      </c>
      <c r="G285" s="23" t="s">
        <v>1010</v>
      </c>
      <c r="H285" s="57">
        <v>10</v>
      </c>
      <c r="I285" s="57">
        <v>0</v>
      </c>
      <c r="J285" s="119">
        <v>-36328366.579999998</v>
      </c>
    </row>
    <row r="286" spans="1:10" ht="25.5" x14ac:dyDescent="0.25">
      <c r="A286" s="20">
        <v>285</v>
      </c>
      <c r="B286" s="21">
        <v>45996</v>
      </c>
      <c r="C286" s="20" t="s">
        <v>581</v>
      </c>
      <c r="D286" s="23" t="s">
        <v>885</v>
      </c>
      <c r="E286" s="20"/>
      <c r="F286" s="22" t="s">
        <v>886</v>
      </c>
      <c r="G286" s="23" t="s">
        <v>1149</v>
      </c>
      <c r="H286" s="57">
        <v>3</v>
      </c>
      <c r="I286" s="57">
        <v>0</v>
      </c>
      <c r="J286" s="119">
        <v>-36628366.579999998</v>
      </c>
    </row>
    <row r="287" spans="1:10" x14ac:dyDescent="0.25">
      <c r="A287" s="20">
        <v>286</v>
      </c>
      <c r="B287" s="21">
        <v>45996</v>
      </c>
      <c r="C287" s="20" t="s">
        <v>581</v>
      </c>
      <c r="D287" s="20" t="s">
        <v>788</v>
      </c>
      <c r="E287" s="20"/>
      <c r="F287" s="22" t="s">
        <v>873</v>
      </c>
      <c r="G287" s="23" t="s">
        <v>1150</v>
      </c>
      <c r="H287" s="57">
        <v>1.33636</v>
      </c>
      <c r="I287" s="57">
        <v>0</v>
      </c>
      <c r="J287" s="119">
        <v>-36762002.579999998</v>
      </c>
    </row>
    <row r="288" spans="1:10" x14ac:dyDescent="0.25">
      <c r="A288" s="20">
        <v>287</v>
      </c>
      <c r="B288" s="21">
        <v>45996</v>
      </c>
      <c r="C288" s="20" t="s">
        <v>581</v>
      </c>
      <c r="D288" s="20" t="s">
        <v>787</v>
      </c>
      <c r="E288" s="20"/>
      <c r="F288" s="22" t="s">
        <v>879</v>
      </c>
      <c r="G288" s="23" t="s">
        <v>1151</v>
      </c>
      <c r="H288" s="57">
        <v>25</v>
      </c>
      <c r="I288" s="57">
        <v>0</v>
      </c>
      <c r="J288" s="119">
        <v>-39262002.579999998</v>
      </c>
    </row>
    <row r="289" spans="1:10" x14ac:dyDescent="0.25">
      <c r="A289" s="20">
        <v>288</v>
      </c>
      <c r="B289" s="21">
        <v>45997</v>
      </c>
      <c r="C289" s="20" t="s">
        <v>581</v>
      </c>
      <c r="D289" s="20" t="s">
        <v>759</v>
      </c>
      <c r="E289" s="20"/>
      <c r="F289" s="22" t="s">
        <v>915</v>
      </c>
      <c r="G289" s="23" t="s">
        <v>1152</v>
      </c>
      <c r="H289" s="57">
        <v>1</v>
      </c>
      <c r="I289" s="57">
        <v>0</v>
      </c>
      <c r="J289" s="119">
        <v>-39362002.579999998</v>
      </c>
    </row>
    <row r="290" spans="1:10" ht="25.5" x14ac:dyDescent="0.25">
      <c r="A290" s="20">
        <v>289</v>
      </c>
      <c r="B290" s="21">
        <v>45997</v>
      </c>
      <c r="C290" s="20" t="s">
        <v>581</v>
      </c>
      <c r="D290" s="20" t="s">
        <v>888</v>
      </c>
      <c r="E290" s="20"/>
      <c r="F290" s="22" t="s">
        <v>891</v>
      </c>
      <c r="G290" s="23" t="s">
        <v>936</v>
      </c>
      <c r="H290" s="57">
        <v>0.25</v>
      </c>
      <c r="I290" s="57">
        <v>0</v>
      </c>
      <c r="J290" s="119">
        <v>-39387002.579999998</v>
      </c>
    </row>
    <row r="291" spans="1:10" x14ac:dyDescent="0.25">
      <c r="A291" s="20">
        <v>290</v>
      </c>
      <c r="B291" s="21">
        <v>45997</v>
      </c>
      <c r="C291" s="20" t="s">
        <v>581</v>
      </c>
      <c r="D291" s="20" t="s">
        <v>759</v>
      </c>
      <c r="E291" s="20"/>
      <c r="F291" s="22" t="s">
        <v>901</v>
      </c>
      <c r="G291" s="23" t="s">
        <v>1153</v>
      </c>
      <c r="H291" s="57">
        <v>0.15</v>
      </c>
      <c r="I291" s="57">
        <v>0</v>
      </c>
      <c r="J291" s="119">
        <v>-39402002.579999998</v>
      </c>
    </row>
    <row r="292" spans="1:10" x14ac:dyDescent="0.25">
      <c r="A292" s="20">
        <v>291</v>
      </c>
      <c r="B292" s="21">
        <v>45997</v>
      </c>
      <c r="C292" s="20" t="s">
        <v>581</v>
      </c>
      <c r="D292" s="20" t="s">
        <v>759</v>
      </c>
      <c r="E292" s="20"/>
      <c r="F292" s="22" t="s">
        <v>896</v>
      </c>
      <c r="G292" s="23" t="s">
        <v>1154</v>
      </c>
      <c r="H292" s="57">
        <v>0.45</v>
      </c>
      <c r="I292" s="57">
        <v>0</v>
      </c>
      <c r="J292" s="119">
        <v>-39447002.579999998</v>
      </c>
    </row>
    <row r="293" spans="1:10" x14ac:dyDescent="0.25">
      <c r="A293" s="20">
        <v>292</v>
      </c>
      <c r="B293" s="21">
        <v>45997</v>
      </c>
      <c r="C293" s="20" t="s">
        <v>581</v>
      </c>
      <c r="D293" s="20" t="s">
        <v>888</v>
      </c>
      <c r="E293" s="20"/>
      <c r="F293" s="22" t="s">
        <v>125</v>
      </c>
      <c r="G293" s="23" t="s">
        <v>1155</v>
      </c>
      <c r="H293" s="57">
        <v>2.4034200000000001</v>
      </c>
      <c r="I293" s="57">
        <v>0</v>
      </c>
      <c r="J293" s="119">
        <v>-39687344.579999998</v>
      </c>
    </row>
    <row r="294" spans="1:10" x14ac:dyDescent="0.25">
      <c r="A294" s="20">
        <v>293</v>
      </c>
      <c r="B294" s="21">
        <v>45997</v>
      </c>
      <c r="C294" s="20" t="s">
        <v>581</v>
      </c>
      <c r="D294" s="20" t="s">
        <v>759</v>
      </c>
      <c r="E294" s="20"/>
      <c r="F294" s="22" t="s">
        <v>905</v>
      </c>
      <c r="G294" s="23" t="s">
        <v>1156</v>
      </c>
      <c r="H294" s="57">
        <v>0.06</v>
      </c>
      <c r="I294" s="57">
        <v>0</v>
      </c>
      <c r="J294" s="119">
        <v>-39693344.579999998</v>
      </c>
    </row>
    <row r="295" spans="1:10" x14ac:dyDescent="0.25">
      <c r="A295" s="20">
        <v>294</v>
      </c>
      <c r="B295" s="21">
        <v>45997</v>
      </c>
      <c r="C295" s="20" t="s">
        <v>581</v>
      </c>
      <c r="D295" s="20" t="s">
        <v>140</v>
      </c>
      <c r="E295" s="20"/>
      <c r="F295" s="22" t="s">
        <v>141</v>
      </c>
      <c r="G295" s="23" t="s">
        <v>1157</v>
      </c>
      <c r="H295" s="57">
        <v>1.5</v>
      </c>
      <c r="I295" s="57">
        <v>0</v>
      </c>
      <c r="J295" s="119">
        <v>-39843344.579999998</v>
      </c>
    </row>
    <row r="296" spans="1:10" x14ac:dyDescent="0.25">
      <c r="A296" s="20">
        <v>295</v>
      </c>
      <c r="B296" s="21">
        <v>45999</v>
      </c>
      <c r="C296" s="20" t="s">
        <v>581</v>
      </c>
      <c r="D296" s="20" t="s">
        <v>497</v>
      </c>
      <c r="E296" s="20"/>
      <c r="F296" s="22" t="s">
        <v>498</v>
      </c>
      <c r="G296" s="23" t="s">
        <v>499</v>
      </c>
      <c r="H296" s="57">
        <v>0</v>
      </c>
      <c r="I296" s="57">
        <v>3.5</v>
      </c>
      <c r="J296" s="119">
        <v>-39493344.579999998</v>
      </c>
    </row>
    <row r="297" spans="1:10" ht="25.5" x14ac:dyDescent="0.25">
      <c r="A297" s="20">
        <v>296</v>
      </c>
      <c r="B297" s="21">
        <v>45999</v>
      </c>
      <c r="C297" s="20" t="s">
        <v>581</v>
      </c>
      <c r="D297" s="20" t="s">
        <v>759</v>
      </c>
      <c r="E297" s="20"/>
      <c r="F297" s="22" t="s">
        <v>895</v>
      </c>
      <c r="G297" s="23" t="s">
        <v>1158</v>
      </c>
      <c r="H297" s="57">
        <v>4</v>
      </c>
      <c r="I297" s="57">
        <v>0</v>
      </c>
      <c r="J297" s="119">
        <v>-39893344.579999998</v>
      </c>
    </row>
    <row r="298" spans="1:10" x14ac:dyDescent="0.25">
      <c r="A298" s="20">
        <v>297</v>
      </c>
      <c r="B298" s="21">
        <v>46000</v>
      </c>
      <c r="C298" s="20" t="s">
        <v>581</v>
      </c>
      <c r="D298" s="20" t="s">
        <v>91</v>
      </c>
      <c r="E298" s="20"/>
      <c r="F298" s="22" t="s">
        <v>884</v>
      </c>
      <c r="G298" s="23" t="s">
        <v>1159</v>
      </c>
      <c r="H298" s="57">
        <v>1</v>
      </c>
      <c r="I298" s="57">
        <v>0</v>
      </c>
      <c r="J298" s="119">
        <v>-39993344.579999998</v>
      </c>
    </row>
    <row r="299" spans="1:10" x14ac:dyDescent="0.25">
      <c r="A299" s="20">
        <v>298</v>
      </c>
      <c r="B299" s="21">
        <v>46000</v>
      </c>
      <c r="C299" s="20" t="s">
        <v>581</v>
      </c>
      <c r="D299" s="20" t="s">
        <v>888</v>
      </c>
      <c r="E299" s="20"/>
      <c r="F299" s="22" t="s">
        <v>298</v>
      </c>
      <c r="G299" s="23" t="s">
        <v>299</v>
      </c>
      <c r="H299" s="57">
        <v>1.4749999999999999E-2</v>
      </c>
      <c r="I299" s="57">
        <v>0</v>
      </c>
      <c r="J299" s="119">
        <v>-39994819.579999998</v>
      </c>
    </row>
    <row r="300" spans="1:10" ht="25.5" x14ac:dyDescent="0.25">
      <c r="A300" s="20">
        <v>299</v>
      </c>
      <c r="B300" s="21">
        <v>46002</v>
      </c>
      <c r="C300" s="20" t="s">
        <v>581</v>
      </c>
      <c r="D300" s="23" t="s">
        <v>885</v>
      </c>
      <c r="E300" s="20"/>
      <c r="F300" s="22" t="s">
        <v>886</v>
      </c>
      <c r="G300" s="23" t="s">
        <v>1160</v>
      </c>
      <c r="H300" s="57">
        <v>0</v>
      </c>
      <c r="I300" s="57">
        <v>7</v>
      </c>
      <c r="J300" s="119">
        <v>-39294819.579999998</v>
      </c>
    </row>
    <row r="301" spans="1:10" x14ac:dyDescent="0.25">
      <c r="A301" s="20">
        <v>300</v>
      </c>
      <c r="B301" s="21">
        <v>46002</v>
      </c>
      <c r="C301" s="20" t="s">
        <v>581</v>
      </c>
      <c r="D301" s="20" t="s">
        <v>91</v>
      </c>
      <c r="E301" s="20"/>
      <c r="F301" s="22" t="s">
        <v>884</v>
      </c>
      <c r="G301" s="23" t="s">
        <v>1010</v>
      </c>
      <c r="H301" s="57">
        <v>7</v>
      </c>
      <c r="I301" s="57">
        <v>0</v>
      </c>
      <c r="J301" s="119">
        <v>-39994819.579999998</v>
      </c>
    </row>
    <row r="302" spans="1:10" x14ac:dyDescent="0.25">
      <c r="A302" s="20">
        <v>301</v>
      </c>
      <c r="B302" s="21">
        <v>46003</v>
      </c>
      <c r="C302" s="20" t="s">
        <v>581</v>
      </c>
      <c r="D302" s="20" t="s">
        <v>497</v>
      </c>
      <c r="E302" s="20"/>
      <c r="F302" s="22" t="s">
        <v>895</v>
      </c>
      <c r="G302" s="23" t="s">
        <v>1161</v>
      </c>
      <c r="H302" s="57">
        <v>0</v>
      </c>
      <c r="I302" s="57">
        <v>12.7</v>
      </c>
      <c r="J302" s="119">
        <v>-38724819.579999998</v>
      </c>
    </row>
    <row r="303" spans="1:10" x14ac:dyDescent="0.25">
      <c r="A303" s="20">
        <v>302</v>
      </c>
      <c r="B303" s="21">
        <v>46003</v>
      </c>
      <c r="C303" s="20" t="s">
        <v>581</v>
      </c>
      <c r="D303" s="20" t="s">
        <v>91</v>
      </c>
      <c r="E303" s="20"/>
      <c r="F303" s="22" t="s">
        <v>884</v>
      </c>
      <c r="G303" s="23" t="s">
        <v>933</v>
      </c>
      <c r="H303" s="57">
        <v>10</v>
      </c>
      <c r="I303" s="57">
        <v>0</v>
      </c>
      <c r="J303" s="119">
        <v>-39724819.579999998</v>
      </c>
    </row>
    <row r="304" spans="1:10" x14ac:dyDescent="0.25">
      <c r="A304" s="20">
        <v>303</v>
      </c>
      <c r="B304" s="21">
        <v>46004</v>
      </c>
      <c r="C304" s="20" t="s">
        <v>581</v>
      </c>
      <c r="D304" s="20" t="s">
        <v>759</v>
      </c>
      <c r="E304" s="20"/>
      <c r="F304" s="22" t="s">
        <v>903</v>
      </c>
      <c r="G304" s="23" t="s">
        <v>1162</v>
      </c>
      <c r="H304" s="57">
        <v>0.53908</v>
      </c>
      <c r="I304" s="57">
        <v>0</v>
      </c>
      <c r="J304" s="119">
        <v>-39778727.579999998</v>
      </c>
    </row>
    <row r="305" spans="1:10" x14ac:dyDescent="0.25">
      <c r="A305" s="20">
        <v>304</v>
      </c>
      <c r="B305" s="21">
        <v>46006</v>
      </c>
      <c r="C305" s="20" t="s">
        <v>581</v>
      </c>
      <c r="D305" s="20" t="s">
        <v>747</v>
      </c>
      <c r="E305" s="20"/>
      <c r="F305" s="22" t="s">
        <v>881</v>
      </c>
      <c r="G305" s="23" t="s">
        <v>1163</v>
      </c>
      <c r="H305" s="57">
        <v>3.5400000000000001E-2</v>
      </c>
      <c r="I305" s="57">
        <v>0</v>
      </c>
      <c r="J305" s="119">
        <v>-39782267.579999998</v>
      </c>
    </row>
    <row r="306" spans="1:10" x14ac:dyDescent="0.25">
      <c r="A306" s="20">
        <v>305</v>
      </c>
      <c r="B306" s="21">
        <v>46006</v>
      </c>
      <c r="C306" s="20" t="s">
        <v>581</v>
      </c>
      <c r="D306" s="20" t="s">
        <v>91</v>
      </c>
      <c r="E306" s="20"/>
      <c r="F306" s="22" t="s">
        <v>884</v>
      </c>
      <c r="G306" s="23" t="s">
        <v>920</v>
      </c>
      <c r="H306" s="57">
        <v>0</v>
      </c>
      <c r="I306" s="57">
        <v>4</v>
      </c>
      <c r="J306" s="119">
        <v>-39382267.579999998</v>
      </c>
    </row>
    <row r="307" spans="1:10" ht="25.5" x14ac:dyDescent="0.25">
      <c r="A307" s="20">
        <v>306</v>
      </c>
      <c r="B307" s="21">
        <v>46006</v>
      </c>
      <c r="C307" s="20" t="s">
        <v>581</v>
      </c>
      <c r="D307" s="20" t="s">
        <v>759</v>
      </c>
      <c r="E307" s="20"/>
      <c r="F307" s="22" t="s">
        <v>895</v>
      </c>
      <c r="G307" s="23" t="s">
        <v>1164</v>
      </c>
      <c r="H307" s="57">
        <v>4</v>
      </c>
      <c r="I307" s="57">
        <v>0</v>
      </c>
      <c r="J307" s="119">
        <v>-39782267.579999998</v>
      </c>
    </row>
    <row r="308" spans="1:10" x14ac:dyDescent="0.25">
      <c r="A308" s="20">
        <v>307</v>
      </c>
      <c r="B308" s="21">
        <v>46007</v>
      </c>
      <c r="C308" s="20" t="s">
        <v>581</v>
      </c>
      <c r="D308" s="20" t="s">
        <v>759</v>
      </c>
      <c r="E308" s="20"/>
      <c r="F308" s="22" t="s">
        <v>789</v>
      </c>
      <c r="G308" s="23" t="s">
        <v>1165</v>
      </c>
      <c r="H308" s="57">
        <v>0.15</v>
      </c>
      <c r="I308" s="57">
        <v>0</v>
      </c>
      <c r="J308" s="119">
        <v>-39797267.579999998</v>
      </c>
    </row>
    <row r="309" spans="1:10" ht="25.5" x14ac:dyDescent="0.25">
      <c r="A309" s="20">
        <v>308</v>
      </c>
      <c r="B309" s="21">
        <v>46007</v>
      </c>
      <c r="C309" s="20" t="s">
        <v>581</v>
      </c>
      <c r="D309" s="20" t="s">
        <v>759</v>
      </c>
      <c r="E309" s="20"/>
      <c r="F309" s="22" t="s">
        <v>908</v>
      </c>
      <c r="G309" s="23" t="s">
        <v>1166</v>
      </c>
      <c r="H309" s="57">
        <v>0.3</v>
      </c>
      <c r="I309" s="57">
        <v>0</v>
      </c>
      <c r="J309" s="119">
        <v>-39827267.579999998</v>
      </c>
    </row>
    <row r="310" spans="1:10" x14ac:dyDescent="0.25">
      <c r="A310" s="20">
        <v>309</v>
      </c>
      <c r="B310" s="21">
        <v>46009</v>
      </c>
      <c r="C310" s="20" t="s">
        <v>581</v>
      </c>
      <c r="D310" s="20" t="s">
        <v>497</v>
      </c>
      <c r="E310" s="20"/>
      <c r="F310" s="22" t="s">
        <v>789</v>
      </c>
      <c r="G310" s="23" t="s">
        <v>1167</v>
      </c>
      <c r="H310" s="57">
        <v>0</v>
      </c>
      <c r="I310" s="57">
        <v>1.0000000000000001E-5</v>
      </c>
      <c r="J310" s="119">
        <v>-39827266.579999998</v>
      </c>
    </row>
    <row r="311" spans="1:10" x14ac:dyDescent="0.25">
      <c r="A311" s="20">
        <v>310</v>
      </c>
      <c r="B311" s="21">
        <v>46009</v>
      </c>
      <c r="C311" s="20" t="s">
        <v>581</v>
      </c>
      <c r="D311" s="20" t="s">
        <v>140</v>
      </c>
      <c r="E311" s="20"/>
      <c r="F311" s="22" t="s">
        <v>141</v>
      </c>
      <c r="G311" s="23" t="s">
        <v>1168</v>
      </c>
      <c r="H311" s="57">
        <v>1</v>
      </c>
      <c r="I311" s="57">
        <v>0</v>
      </c>
      <c r="J311" s="119">
        <v>-39927266.579999998</v>
      </c>
    </row>
    <row r="312" spans="1:10" ht="25.5" x14ac:dyDescent="0.25">
      <c r="A312" s="20">
        <v>311</v>
      </c>
      <c r="B312" s="21">
        <v>46009</v>
      </c>
      <c r="C312" s="20" t="s">
        <v>581</v>
      </c>
      <c r="D312" s="20" t="s">
        <v>91</v>
      </c>
      <c r="E312" s="20"/>
      <c r="F312" s="22" t="s">
        <v>884</v>
      </c>
      <c r="G312" s="23" t="s">
        <v>944</v>
      </c>
      <c r="H312" s="57">
        <v>0</v>
      </c>
      <c r="I312" s="57">
        <v>2</v>
      </c>
      <c r="J312" s="119">
        <v>-39727266.579999998</v>
      </c>
    </row>
    <row r="313" spans="1:10" x14ac:dyDescent="0.25">
      <c r="A313" s="20">
        <v>312</v>
      </c>
      <c r="B313" s="21">
        <v>46009</v>
      </c>
      <c r="C313" s="20" t="s">
        <v>581</v>
      </c>
      <c r="D313" s="20" t="s">
        <v>787</v>
      </c>
      <c r="E313" s="20"/>
      <c r="F313" s="22" t="s">
        <v>880</v>
      </c>
      <c r="G313" s="23" t="s">
        <v>1169</v>
      </c>
      <c r="H313" s="57">
        <v>0</v>
      </c>
      <c r="I313" s="57">
        <v>4.95</v>
      </c>
      <c r="J313" s="119">
        <v>-39232266.579999998</v>
      </c>
    </row>
    <row r="314" spans="1:10" x14ac:dyDescent="0.25">
      <c r="A314" s="20">
        <v>313</v>
      </c>
      <c r="B314" s="21">
        <v>46009</v>
      </c>
      <c r="C314" s="20" t="s">
        <v>581</v>
      </c>
      <c r="D314" s="20" t="s">
        <v>787</v>
      </c>
      <c r="E314" s="20"/>
      <c r="F314" s="22" t="s">
        <v>880</v>
      </c>
      <c r="G314" s="23" t="s">
        <v>1170</v>
      </c>
      <c r="H314" s="57">
        <v>0</v>
      </c>
      <c r="I314" s="57">
        <v>4.95</v>
      </c>
      <c r="J314" s="119">
        <v>-38737266.579999998</v>
      </c>
    </row>
    <row r="315" spans="1:10" x14ac:dyDescent="0.25">
      <c r="A315" s="20">
        <v>314</v>
      </c>
      <c r="B315" s="21">
        <v>46009</v>
      </c>
      <c r="C315" s="20" t="s">
        <v>581</v>
      </c>
      <c r="D315" s="20" t="s">
        <v>91</v>
      </c>
      <c r="E315" s="20"/>
      <c r="F315" s="22" t="s">
        <v>884</v>
      </c>
      <c r="G315" s="23" t="s">
        <v>920</v>
      </c>
      <c r="H315" s="57">
        <v>0</v>
      </c>
      <c r="I315" s="57">
        <v>0.5</v>
      </c>
      <c r="J315" s="119">
        <v>-38687266.579999998</v>
      </c>
    </row>
    <row r="316" spans="1:10" ht="25.5" x14ac:dyDescent="0.25">
      <c r="A316" s="20">
        <v>315</v>
      </c>
      <c r="B316" s="21">
        <v>46009</v>
      </c>
      <c r="C316" s="20" t="s">
        <v>581</v>
      </c>
      <c r="D316" s="23" t="s">
        <v>885</v>
      </c>
      <c r="E316" s="20"/>
      <c r="F316" s="22" t="s">
        <v>886</v>
      </c>
      <c r="G316" s="23" t="s">
        <v>1171</v>
      </c>
      <c r="H316" s="57">
        <v>0.5</v>
      </c>
      <c r="I316" s="57">
        <v>0</v>
      </c>
      <c r="J316" s="119">
        <v>-38737266.579999998</v>
      </c>
    </row>
    <row r="317" spans="1:10" x14ac:dyDescent="0.25">
      <c r="A317" s="20">
        <v>316</v>
      </c>
      <c r="B317" s="21">
        <v>46009</v>
      </c>
      <c r="C317" s="20" t="s">
        <v>581</v>
      </c>
      <c r="D317" s="20" t="s">
        <v>888</v>
      </c>
      <c r="E317" s="20"/>
      <c r="F317" s="22" t="s">
        <v>125</v>
      </c>
      <c r="G317" s="23" t="s">
        <v>1172</v>
      </c>
      <c r="H317" s="57">
        <v>2.1555399999999998</v>
      </c>
      <c r="I317" s="57">
        <v>0</v>
      </c>
      <c r="J317" s="119">
        <v>-38952820.579999998</v>
      </c>
    </row>
    <row r="318" spans="1:10" x14ac:dyDescent="0.25">
      <c r="A318" s="20">
        <v>317</v>
      </c>
      <c r="B318" s="21">
        <v>46010</v>
      </c>
      <c r="C318" s="20" t="s">
        <v>581</v>
      </c>
      <c r="D318" s="20" t="s">
        <v>888</v>
      </c>
      <c r="E318" s="20"/>
      <c r="F318" s="22" t="s">
        <v>298</v>
      </c>
      <c r="G318" s="23" t="s">
        <v>1173</v>
      </c>
      <c r="H318" s="57">
        <v>2.3600000000000001E-3</v>
      </c>
      <c r="I318" s="57">
        <v>0</v>
      </c>
      <c r="J318" s="119">
        <v>-38953056.579999998</v>
      </c>
    </row>
    <row r="319" spans="1:10" x14ac:dyDescent="0.25">
      <c r="A319" s="20">
        <v>318</v>
      </c>
      <c r="B319" s="21">
        <v>46010</v>
      </c>
      <c r="C319" s="20" t="s">
        <v>581</v>
      </c>
      <c r="D319" s="20" t="s">
        <v>140</v>
      </c>
      <c r="E319" s="20"/>
      <c r="F319" s="22" t="s">
        <v>141</v>
      </c>
      <c r="G319" s="23" t="s">
        <v>1174</v>
      </c>
      <c r="H319" s="57">
        <v>0.5</v>
      </c>
      <c r="I319" s="57">
        <v>0</v>
      </c>
      <c r="J319" s="119">
        <v>-39003056.579999998</v>
      </c>
    </row>
    <row r="320" spans="1:10" x14ac:dyDescent="0.25">
      <c r="A320" s="20">
        <v>319</v>
      </c>
      <c r="B320" s="21">
        <v>46010</v>
      </c>
      <c r="C320" s="20" t="s">
        <v>581</v>
      </c>
      <c r="D320" s="20" t="s">
        <v>759</v>
      </c>
      <c r="E320" s="20"/>
      <c r="F320" s="22" t="s">
        <v>905</v>
      </c>
      <c r="G320" s="23" t="s">
        <v>1175</v>
      </c>
      <c r="H320" s="57">
        <v>8.8633600000000001</v>
      </c>
      <c r="I320" s="57">
        <v>0</v>
      </c>
      <c r="J320" s="119">
        <v>-39889392.579999998</v>
      </c>
    </row>
    <row r="321" spans="1:10" x14ac:dyDescent="0.25">
      <c r="A321" s="20">
        <v>320</v>
      </c>
      <c r="B321" s="21">
        <v>46013</v>
      </c>
      <c r="C321" s="20" t="s">
        <v>581</v>
      </c>
      <c r="D321" s="20" t="s">
        <v>759</v>
      </c>
      <c r="E321" s="20"/>
      <c r="F321" s="22" t="s">
        <v>789</v>
      </c>
      <c r="G321" s="23" t="s">
        <v>1176</v>
      </c>
      <c r="H321" s="57">
        <v>0.22800000000000001</v>
      </c>
      <c r="I321" s="57">
        <v>0</v>
      </c>
      <c r="J321" s="119">
        <v>-39912192.579999998</v>
      </c>
    </row>
    <row r="322" spans="1:10" x14ac:dyDescent="0.25">
      <c r="A322" s="20">
        <v>321</v>
      </c>
      <c r="B322" s="21">
        <v>46014</v>
      </c>
      <c r="C322" s="20" t="s">
        <v>581</v>
      </c>
      <c r="D322" s="20" t="s">
        <v>497</v>
      </c>
      <c r="E322" s="20"/>
      <c r="F322" s="22" t="s">
        <v>895</v>
      </c>
      <c r="G322" s="23" t="s">
        <v>1177</v>
      </c>
      <c r="H322" s="57">
        <v>0</v>
      </c>
      <c r="I322" s="57">
        <v>5</v>
      </c>
      <c r="J322" s="119">
        <v>-39412192.579999998</v>
      </c>
    </row>
    <row r="323" spans="1:10" x14ac:dyDescent="0.25">
      <c r="A323" s="20">
        <v>322</v>
      </c>
      <c r="B323" s="21">
        <v>46014</v>
      </c>
      <c r="C323" s="20" t="s">
        <v>581</v>
      </c>
      <c r="D323" s="20" t="s">
        <v>91</v>
      </c>
      <c r="E323" s="20"/>
      <c r="F323" s="22" t="s">
        <v>884</v>
      </c>
      <c r="G323" s="23" t="s">
        <v>1010</v>
      </c>
      <c r="H323" s="57">
        <v>3.5</v>
      </c>
      <c r="I323" s="57">
        <v>0</v>
      </c>
      <c r="J323" s="119">
        <v>-39762192.579999998</v>
      </c>
    </row>
    <row r="324" spans="1:10" x14ac:dyDescent="0.25">
      <c r="A324" s="20">
        <v>323</v>
      </c>
      <c r="B324" s="21">
        <v>46014</v>
      </c>
      <c r="C324" s="20" t="s">
        <v>581</v>
      </c>
      <c r="D324" s="20" t="s">
        <v>140</v>
      </c>
      <c r="E324" s="20"/>
      <c r="F324" s="22" t="s">
        <v>141</v>
      </c>
      <c r="G324" s="23" t="s">
        <v>1178</v>
      </c>
      <c r="H324" s="57">
        <v>1.5</v>
      </c>
      <c r="I324" s="57">
        <v>0</v>
      </c>
      <c r="J324" s="119">
        <v>-39912192.579999998</v>
      </c>
    </row>
    <row r="325" spans="1:10" ht="25.5" x14ac:dyDescent="0.25">
      <c r="A325" s="20">
        <v>324</v>
      </c>
      <c r="B325" s="21">
        <v>46014</v>
      </c>
      <c r="C325" s="20" t="s">
        <v>581</v>
      </c>
      <c r="D325" s="20" t="s">
        <v>759</v>
      </c>
      <c r="E325" s="20"/>
      <c r="F325" s="22" t="s">
        <v>908</v>
      </c>
      <c r="G325" s="23" t="s">
        <v>1166</v>
      </c>
      <c r="H325" s="57">
        <v>0.2</v>
      </c>
      <c r="I325" s="57">
        <v>0</v>
      </c>
      <c r="J325" s="119">
        <v>-39932192.579999998</v>
      </c>
    </row>
    <row r="326" spans="1:10" ht="25.5" x14ac:dyDescent="0.25">
      <c r="A326" s="20">
        <v>325</v>
      </c>
      <c r="B326" s="21">
        <v>46014</v>
      </c>
      <c r="C326" s="20" t="s">
        <v>581</v>
      </c>
      <c r="D326" s="23" t="s">
        <v>885</v>
      </c>
      <c r="E326" s="20"/>
      <c r="F326" s="22" t="s">
        <v>886</v>
      </c>
      <c r="G326" s="23" t="s">
        <v>1064</v>
      </c>
      <c r="H326" s="57">
        <v>0.1</v>
      </c>
      <c r="I326" s="57">
        <v>0</v>
      </c>
      <c r="J326" s="119">
        <v>-39942192.579999998</v>
      </c>
    </row>
    <row r="327" spans="1:10" x14ac:dyDescent="0.25">
      <c r="A327" s="20">
        <v>326</v>
      </c>
      <c r="B327" s="21">
        <v>46020</v>
      </c>
      <c r="C327" s="20" t="s">
        <v>581</v>
      </c>
      <c r="D327" s="20" t="s">
        <v>759</v>
      </c>
      <c r="E327" s="20"/>
      <c r="F327" s="22" t="s">
        <v>908</v>
      </c>
      <c r="G327" s="23" t="s">
        <v>1179</v>
      </c>
      <c r="H327" s="57">
        <v>0.05</v>
      </c>
      <c r="I327" s="57">
        <v>0</v>
      </c>
      <c r="J327" s="119">
        <v>-39947192.579999998</v>
      </c>
    </row>
    <row r="328" spans="1:10" x14ac:dyDescent="0.25">
      <c r="A328" s="20">
        <v>327</v>
      </c>
      <c r="B328" s="21">
        <v>46021</v>
      </c>
      <c r="C328" s="20" t="s">
        <v>581</v>
      </c>
      <c r="D328" s="20" t="s">
        <v>497</v>
      </c>
      <c r="E328" s="20"/>
      <c r="F328" s="22" t="s">
        <v>916</v>
      </c>
      <c r="G328" s="23" t="s">
        <v>1180</v>
      </c>
      <c r="H328" s="57">
        <v>0</v>
      </c>
      <c r="I328" s="57">
        <v>10</v>
      </c>
      <c r="J328" s="119">
        <v>-38947192.579999998</v>
      </c>
    </row>
    <row r="329" spans="1:10" x14ac:dyDescent="0.25">
      <c r="A329" s="20">
        <v>328</v>
      </c>
      <c r="B329" s="21">
        <v>46021</v>
      </c>
      <c r="C329" s="20" t="s">
        <v>581</v>
      </c>
      <c r="D329" s="20" t="s">
        <v>91</v>
      </c>
      <c r="E329" s="20"/>
      <c r="F329" s="22" t="s">
        <v>884</v>
      </c>
      <c r="G329" s="23" t="s">
        <v>1181</v>
      </c>
      <c r="H329" s="57">
        <v>0.5</v>
      </c>
      <c r="I329" s="57">
        <v>0</v>
      </c>
      <c r="J329" s="119">
        <v>-38997192.579999998</v>
      </c>
    </row>
    <row r="330" spans="1:10" ht="25.5" x14ac:dyDescent="0.25">
      <c r="A330" s="20">
        <v>329</v>
      </c>
      <c r="B330" s="21">
        <v>46021</v>
      </c>
      <c r="C330" s="20" t="s">
        <v>581</v>
      </c>
      <c r="D330" s="20" t="s">
        <v>759</v>
      </c>
      <c r="E330" s="20"/>
      <c r="F330" s="22" t="s">
        <v>895</v>
      </c>
      <c r="G330" s="23" t="s">
        <v>1182</v>
      </c>
      <c r="H330" s="57">
        <v>10</v>
      </c>
      <c r="I330" s="57">
        <v>0</v>
      </c>
      <c r="J330" s="119">
        <v>-39997192.579999998</v>
      </c>
    </row>
    <row r="331" spans="1:10" x14ac:dyDescent="0.25">
      <c r="A331" s="20">
        <v>330</v>
      </c>
      <c r="B331" s="21">
        <v>46022</v>
      </c>
      <c r="C331" s="20" t="s">
        <v>581</v>
      </c>
      <c r="D331" s="20" t="s">
        <v>91</v>
      </c>
      <c r="E331" s="20"/>
      <c r="F331" s="22" t="s">
        <v>884</v>
      </c>
      <c r="G331" s="23" t="s">
        <v>920</v>
      </c>
      <c r="H331" s="57">
        <v>0</v>
      </c>
      <c r="I331" s="57">
        <v>1</v>
      </c>
      <c r="J331" s="119">
        <v>-39897192.579999998</v>
      </c>
    </row>
    <row r="332" spans="1:10" x14ac:dyDescent="0.25">
      <c r="A332" s="20">
        <v>331</v>
      </c>
      <c r="B332" s="21">
        <v>46022</v>
      </c>
      <c r="C332" s="20" t="s">
        <v>581</v>
      </c>
      <c r="D332" s="20" t="s">
        <v>140</v>
      </c>
      <c r="E332" s="20"/>
      <c r="F332" s="22" t="s">
        <v>141</v>
      </c>
      <c r="G332" s="23" t="s">
        <v>1183</v>
      </c>
      <c r="H332" s="57">
        <v>1</v>
      </c>
      <c r="I332" s="57">
        <v>0</v>
      </c>
      <c r="J332" s="119">
        <v>-39997192.579999998</v>
      </c>
    </row>
    <row r="333" spans="1:10" x14ac:dyDescent="0.25">
      <c r="A333" s="20">
        <v>332</v>
      </c>
      <c r="B333" s="21">
        <v>46022</v>
      </c>
      <c r="C333" s="20" t="s">
        <v>581</v>
      </c>
      <c r="D333" s="20" t="s">
        <v>747</v>
      </c>
      <c r="E333" s="20"/>
      <c r="F333" s="22" t="s">
        <v>881</v>
      </c>
      <c r="G333" s="23" t="s">
        <v>1184</v>
      </c>
      <c r="H333" s="57">
        <v>8.8500000000000002E-3</v>
      </c>
      <c r="I333" s="57">
        <v>0</v>
      </c>
      <c r="J333" s="119">
        <v>-39998077.579999998</v>
      </c>
    </row>
    <row r="334" spans="1:10" x14ac:dyDescent="0.25">
      <c r="A334" s="20">
        <v>333</v>
      </c>
      <c r="B334" s="21">
        <v>46022</v>
      </c>
      <c r="C334" s="20" t="s">
        <v>581</v>
      </c>
      <c r="D334" s="20" t="s">
        <v>752</v>
      </c>
      <c r="E334" s="20"/>
      <c r="F334" s="22" t="s">
        <v>874</v>
      </c>
      <c r="G334" s="23" t="s">
        <v>1185</v>
      </c>
      <c r="H334" s="57">
        <v>3.2792599999999998</v>
      </c>
      <c r="I334" s="57">
        <v>0</v>
      </c>
      <c r="J334" s="119">
        <v>-40326003.579999998</v>
      </c>
    </row>
    <row r="335" spans="1:10" x14ac:dyDescent="0.25">
      <c r="A335" s="20">
        <v>334</v>
      </c>
      <c r="B335" s="21">
        <v>46022</v>
      </c>
      <c r="C335" s="20" t="s">
        <v>581</v>
      </c>
      <c r="D335" s="20" t="s">
        <v>888</v>
      </c>
      <c r="E335" s="20"/>
      <c r="F335" s="22" t="s">
        <v>890</v>
      </c>
      <c r="G335" s="23" t="s">
        <v>1186</v>
      </c>
      <c r="H335" s="57">
        <v>5.1999999999999995E-4</v>
      </c>
      <c r="I335" s="57">
        <v>0</v>
      </c>
      <c r="J335" s="119">
        <v>-40326055.579999998</v>
      </c>
    </row>
    <row r="336" spans="1:10" x14ac:dyDescent="0.25">
      <c r="A336" s="20">
        <v>335</v>
      </c>
      <c r="B336" s="21">
        <v>46025</v>
      </c>
      <c r="C336" s="20" t="s">
        <v>871</v>
      </c>
      <c r="D336" s="20" t="s">
        <v>91</v>
      </c>
      <c r="E336" s="20"/>
      <c r="F336" s="22" t="s">
        <v>884</v>
      </c>
      <c r="G336" s="23" t="s">
        <v>920</v>
      </c>
      <c r="H336" s="57">
        <v>0</v>
      </c>
      <c r="I336" s="57">
        <v>28.5</v>
      </c>
      <c r="J336" s="119">
        <v>-37476055.579999998</v>
      </c>
    </row>
    <row r="337" spans="1:10" x14ac:dyDescent="0.25">
      <c r="A337" s="20">
        <v>336</v>
      </c>
      <c r="B337" s="21">
        <v>46027</v>
      </c>
      <c r="C337" s="20" t="s">
        <v>871</v>
      </c>
      <c r="D337" s="20" t="s">
        <v>787</v>
      </c>
      <c r="E337" s="20"/>
      <c r="F337" s="22" t="s">
        <v>879</v>
      </c>
      <c r="G337" s="23" t="s">
        <v>1187</v>
      </c>
      <c r="H337" s="57">
        <v>25</v>
      </c>
      <c r="I337" s="57">
        <v>0</v>
      </c>
      <c r="J337" s="119">
        <v>-39976055.579999998</v>
      </c>
    </row>
    <row r="338" spans="1:10" x14ac:dyDescent="0.25">
      <c r="A338" s="20">
        <v>337</v>
      </c>
      <c r="B338" s="21">
        <v>46028</v>
      </c>
      <c r="C338" s="20" t="s">
        <v>871</v>
      </c>
      <c r="D338" s="20" t="s">
        <v>497</v>
      </c>
      <c r="E338" s="20"/>
      <c r="F338" s="22" t="s">
        <v>916</v>
      </c>
      <c r="G338" s="23" t="s">
        <v>1188</v>
      </c>
      <c r="H338" s="57">
        <v>0</v>
      </c>
      <c r="I338" s="57">
        <v>9</v>
      </c>
      <c r="J338" s="119">
        <v>-39076055.579999998</v>
      </c>
    </row>
    <row r="339" spans="1:10" x14ac:dyDescent="0.25">
      <c r="A339" s="20">
        <v>338</v>
      </c>
      <c r="B339" s="21">
        <v>46028</v>
      </c>
      <c r="C339" s="20" t="s">
        <v>871</v>
      </c>
      <c r="D339" s="20" t="s">
        <v>759</v>
      </c>
      <c r="E339" s="20"/>
      <c r="F339" s="22" t="s">
        <v>895</v>
      </c>
      <c r="G339" s="23" t="s">
        <v>1189</v>
      </c>
      <c r="H339" s="57">
        <v>9</v>
      </c>
      <c r="I339" s="57">
        <v>0</v>
      </c>
      <c r="J339" s="119">
        <v>-39976055.579999998</v>
      </c>
    </row>
    <row r="340" spans="1:10" x14ac:dyDescent="0.25">
      <c r="A340" s="20">
        <v>339</v>
      </c>
      <c r="B340" s="21">
        <v>46029</v>
      </c>
      <c r="C340" s="20" t="s">
        <v>871</v>
      </c>
      <c r="D340" s="20" t="s">
        <v>91</v>
      </c>
      <c r="E340" s="20"/>
      <c r="F340" s="22" t="s">
        <v>884</v>
      </c>
      <c r="G340" s="23" t="s">
        <v>920</v>
      </c>
      <c r="H340" s="57">
        <v>0</v>
      </c>
      <c r="I340" s="57">
        <v>1.5</v>
      </c>
      <c r="J340" s="119">
        <v>-39826055.579999998</v>
      </c>
    </row>
    <row r="341" spans="1:10" x14ac:dyDescent="0.25">
      <c r="A341" s="20">
        <v>340</v>
      </c>
      <c r="B341" s="21">
        <v>46029</v>
      </c>
      <c r="C341" s="20" t="s">
        <v>871</v>
      </c>
      <c r="D341" s="20" t="s">
        <v>788</v>
      </c>
      <c r="E341" s="20"/>
      <c r="F341" s="22" t="s">
        <v>873</v>
      </c>
      <c r="G341" s="23" t="s">
        <v>1190</v>
      </c>
      <c r="H341" s="57">
        <v>1.2366299999999999</v>
      </c>
      <c r="I341" s="57">
        <v>0</v>
      </c>
      <c r="J341" s="119">
        <v>-39949718.579999998</v>
      </c>
    </row>
    <row r="342" spans="1:10" x14ac:dyDescent="0.25">
      <c r="A342" s="20">
        <v>341</v>
      </c>
      <c r="B342" s="21">
        <v>46030</v>
      </c>
      <c r="C342" s="20" t="s">
        <v>871</v>
      </c>
      <c r="D342" s="20" t="s">
        <v>497</v>
      </c>
      <c r="E342" s="20"/>
      <c r="F342" s="22" t="s">
        <v>895</v>
      </c>
      <c r="G342" s="23" t="s">
        <v>1191</v>
      </c>
      <c r="H342" s="57">
        <v>0</v>
      </c>
      <c r="I342" s="57">
        <v>50</v>
      </c>
      <c r="J342" s="119">
        <v>-34949718.579999998</v>
      </c>
    </row>
    <row r="343" spans="1:10" ht="25.5" x14ac:dyDescent="0.25">
      <c r="A343" s="20">
        <v>342</v>
      </c>
      <c r="B343" s="21">
        <v>46030</v>
      </c>
      <c r="C343" s="20" t="s">
        <v>871</v>
      </c>
      <c r="D343" s="20" t="s">
        <v>759</v>
      </c>
      <c r="E343" s="20"/>
      <c r="F343" s="22" t="s">
        <v>908</v>
      </c>
      <c r="G343" s="23" t="s">
        <v>1192</v>
      </c>
      <c r="H343" s="57">
        <v>0.5</v>
      </c>
      <c r="I343" s="57">
        <v>0</v>
      </c>
      <c r="J343" s="119">
        <v>-34999718.579999998</v>
      </c>
    </row>
    <row r="344" spans="1:10" x14ac:dyDescent="0.25">
      <c r="A344" s="20">
        <v>343</v>
      </c>
      <c r="B344" s="21">
        <v>46030</v>
      </c>
      <c r="C344" s="20" t="s">
        <v>871</v>
      </c>
      <c r="D344" s="20" t="s">
        <v>888</v>
      </c>
      <c r="E344" s="20"/>
      <c r="F344" s="22" t="s">
        <v>891</v>
      </c>
      <c r="G344" s="23" t="s">
        <v>1008</v>
      </c>
      <c r="H344" s="57">
        <v>0.25</v>
      </c>
      <c r="I344" s="57">
        <v>0</v>
      </c>
      <c r="J344" s="119">
        <v>-35024718.579999998</v>
      </c>
    </row>
    <row r="345" spans="1:10" x14ac:dyDescent="0.25">
      <c r="A345" s="20">
        <v>344</v>
      </c>
      <c r="B345" s="21">
        <v>46030</v>
      </c>
      <c r="C345" s="20" t="s">
        <v>871</v>
      </c>
      <c r="D345" s="20" t="s">
        <v>759</v>
      </c>
      <c r="E345" s="20"/>
      <c r="F345" s="22" t="s">
        <v>901</v>
      </c>
      <c r="G345" s="23" t="s">
        <v>1193</v>
      </c>
      <c r="H345" s="57">
        <v>0.2</v>
      </c>
      <c r="I345" s="57">
        <v>0</v>
      </c>
      <c r="J345" s="119">
        <v>-35044718.579999998</v>
      </c>
    </row>
    <row r="346" spans="1:10" x14ac:dyDescent="0.25">
      <c r="A346" s="20">
        <v>345</v>
      </c>
      <c r="B346" s="21">
        <v>46030</v>
      </c>
      <c r="C346" s="20" t="s">
        <v>871</v>
      </c>
      <c r="D346" s="20" t="s">
        <v>759</v>
      </c>
      <c r="E346" s="20"/>
      <c r="F346" s="22" t="s">
        <v>896</v>
      </c>
      <c r="G346" s="23" t="s">
        <v>1194</v>
      </c>
      <c r="H346" s="57">
        <v>0.3629</v>
      </c>
      <c r="I346" s="57">
        <v>0</v>
      </c>
      <c r="J346" s="119">
        <v>-35081008.579999998</v>
      </c>
    </row>
    <row r="347" spans="1:10" x14ac:dyDescent="0.25">
      <c r="A347" s="20">
        <v>346</v>
      </c>
      <c r="B347" s="21">
        <v>46030</v>
      </c>
      <c r="C347" s="20" t="s">
        <v>871</v>
      </c>
      <c r="D347" s="20" t="s">
        <v>91</v>
      </c>
      <c r="E347" s="20"/>
      <c r="F347" s="22" t="s">
        <v>884</v>
      </c>
      <c r="G347" s="23" t="s">
        <v>1010</v>
      </c>
      <c r="H347" s="57">
        <v>16</v>
      </c>
      <c r="I347" s="57">
        <v>0</v>
      </c>
      <c r="J347" s="119">
        <v>-36681008.579999998</v>
      </c>
    </row>
    <row r="348" spans="1:10" x14ac:dyDescent="0.25">
      <c r="A348" s="20">
        <v>347</v>
      </c>
      <c r="B348" s="21">
        <v>46031</v>
      </c>
      <c r="C348" s="20" t="s">
        <v>871</v>
      </c>
      <c r="D348" s="20" t="s">
        <v>91</v>
      </c>
      <c r="E348" s="20"/>
      <c r="F348" s="22" t="s">
        <v>884</v>
      </c>
      <c r="G348" s="23" t="s">
        <v>1195</v>
      </c>
      <c r="H348" s="57">
        <v>22</v>
      </c>
      <c r="I348" s="57">
        <v>0</v>
      </c>
      <c r="J348" s="119">
        <v>-38881008.579999998</v>
      </c>
    </row>
    <row r="349" spans="1:10" x14ac:dyDescent="0.25">
      <c r="A349" s="20">
        <v>348</v>
      </c>
      <c r="B349" s="21">
        <v>46031</v>
      </c>
      <c r="C349" s="20" t="s">
        <v>871</v>
      </c>
      <c r="D349" s="20" t="s">
        <v>788</v>
      </c>
      <c r="E349" s="20"/>
      <c r="F349" s="22" t="s">
        <v>870</v>
      </c>
      <c r="G349" s="23" t="s">
        <v>1196</v>
      </c>
      <c r="H349" s="57">
        <v>0.48786499999999999</v>
      </c>
      <c r="I349" s="57">
        <v>0</v>
      </c>
      <c r="J349" s="119">
        <v>-38929795.079999998</v>
      </c>
    </row>
    <row r="350" spans="1:10" x14ac:dyDescent="0.25">
      <c r="A350" s="20">
        <v>349</v>
      </c>
      <c r="B350" s="21">
        <v>46031</v>
      </c>
      <c r="C350" s="20" t="s">
        <v>871</v>
      </c>
      <c r="D350" s="20" t="s">
        <v>788</v>
      </c>
      <c r="E350" s="20"/>
      <c r="F350" s="22" t="s">
        <v>870</v>
      </c>
      <c r="G350" s="23" t="s">
        <v>1197</v>
      </c>
      <c r="H350" s="57">
        <v>0</v>
      </c>
      <c r="I350" s="57">
        <v>37.563450000000003</v>
      </c>
      <c r="J350" s="119">
        <v>-35173450.079999998</v>
      </c>
    </row>
    <row r="351" spans="1:10" x14ac:dyDescent="0.25">
      <c r="A351" s="20">
        <v>350</v>
      </c>
      <c r="B351" s="21">
        <v>46031</v>
      </c>
      <c r="C351" s="20" t="s">
        <v>871</v>
      </c>
      <c r="D351" s="20" t="s">
        <v>788</v>
      </c>
      <c r="E351" s="20"/>
      <c r="F351" s="22" t="s">
        <v>870</v>
      </c>
      <c r="G351" s="23" t="s">
        <v>1198</v>
      </c>
      <c r="H351" s="57">
        <v>0.125085</v>
      </c>
      <c r="I351" s="57">
        <v>0</v>
      </c>
      <c r="J351" s="119">
        <v>-35185958.579999998</v>
      </c>
    </row>
    <row r="352" spans="1:10" x14ac:dyDescent="0.25">
      <c r="A352" s="20">
        <v>351</v>
      </c>
      <c r="B352" s="21">
        <v>46031</v>
      </c>
      <c r="C352" s="20" t="s">
        <v>871</v>
      </c>
      <c r="D352" s="20" t="s">
        <v>788</v>
      </c>
      <c r="E352" s="20"/>
      <c r="F352" s="22" t="s">
        <v>870</v>
      </c>
      <c r="G352" s="23" t="s">
        <v>1199</v>
      </c>
      <c r="H352" s="57">
        <v>0</v>
      </c>
      <c r="I352" s="57">
        <v>7.6942199999999996</v>
      </c>
      <c r="J352" s="119">
        <v>-34416536.579999998</v>
      </c>
    </row>
    <row r="353" spans="1:10" ht="25.5" x14ac:dyDescent="0.25">
      <c r="A353" s="20">
        <v>352</v>
      </c>
      <c r="B353" s="21">
        <v>46031</v>
      </c>
      <c r="C353" s="20" t="s">
        <v>871</v>
      </c>
      <c r="D353" s="20" t="s">
        <v>759</v>
      </c>
      <c r="E353" s="20"/>
      <c r="F353" s="22" t="s">
        <v>894</v>
      </c>
      <c r="G353" s="23" t="s">
        <v>1200</v>
      </c>
      <c r="H353" s="57">
        <v>0.58499999999999996</v>
      </c>
      <c r="I353" s="57">
        <v>0</v>
      </c>
      <c r="J353" s="119">
        <v>-34475036.579999998</v>
      </c>
    </row>
    <row r="354" spans="1:10" x14ac:dyDescent="0.25">
      <c r="A354" s="20">
        <v>353</v>
      </c>
      <c r="B354" s="21">
        <v>46031</v>
      </c>
      <c r="C354" s="20" t="s">
        <v>871</v>
      </c>
      <c r="D354" s="20" t="s">
        <v>888</v>
      </c>
      <c r="E354" s="20"/>
      <c r="F354" s="22" t="s">
        <v>125</v>
      </c>
      <c r="G354" s="23" t="s">
        <v>1201</v>
      </c>
      <c r="H354" s="57">
        <v>1.6468</v>
      </c>
      <c r="I354" s="57">
        <v>0</v>
      </c>
      <c r="J354" s="119">
        <v>-34639716.579999998</v>
      </c>
    </row>
    <row r="355" spans="1:10" ht="25.5" x14ac:dyDescent="0.25">
      <c r="A355" s="20">
        <v>354</v>
      </c>
      <c r="B355" s="21">
        <v>46031</v>
      </c>
      <c r="C355" s="20" t="s">
        <v>871</v>
      </c>
      <c r="D355" s="23" t="s">
        <v>885</v>
      </c>
      <c r="E355" s="20"/>
      <c r="F355" s="22" t="s">
        <v>886</v>
      </c>
      <c r="G355" s="23" t="s">
        <v>1064</v>
      </c>
      <c r="H355" s="57">
        <v>12</v>
      </c>
      <c r="I355" s="57">
        <v>0</v>
      </c>
      <c r="J355" s="119">
        <v>-35839716.579999998</v>
      </c>
    </row>
    <row r="356" spans="1:10" x14ac:dyDescent="0.25">
      <c r="A356" s="20">
        <v>355</v>
      </c>
      <c r="B356" s="21">
        <v>46031</v>
      </c>
      <c r="C356" s="20" t="s">
        <v>871</v>
      </c>
      <c r="D356" s="20" t="s">
        <v>759</v>
      </c>
      <c r="E356" s="20"/>
      <c r="F356" s="22" t="s">
        <v>789</v>
      </c>
      <c r="G356" s="23" t="s">
        <v>1202</v>
      </c>
      <c r="H356" s="57">
        <v>0.02</v>
      </c>
      <c r="I356" s="57">
        <v>0</v>
      </c>
      <c r="J356" s="119">
        <v>-35841716.579999998</v>
      </c>
    </row>
    <row r="357" spans="1:10" x14ac:dyDescent="0.25">
      <c r="A357" s="20">
        <v>356</v>
      </c>
      <c r="B357" s="21">
        <v>46031</v>
      </c>
      <c r="C357" s="20" t="s">
        <v>871</v>
      </c>
      <c r="D357" s="20" t="s">
        <v>497</v>
      </c>
      <c r="E357" s="20"/>
      <c r="F357" s="22" t="s">
        <v>895</v>
      </c>
      <c r="G357" s="23" t="s">
        <v>1203</v>
      </c>
      <c r="H357" s="57">
        <v>0</v>
      </c>
      <c r="I357" s="57">
        <v>10</v>
      </c>
      <c r="J357" s="119">
        <v>-34841716.579999998</v>
      </c>
    </row>
    <row r="358" spans="1:10" x14ac:dyDescent="0.25">
      <c r="A358" s="20">
        <v>357</v>
      </c>
      <c r="B358" s="21">
        <v>46032</v>
      </c>
      <c r="C358" s="20" t="s">
        <v>871</v>
      </c>
      <c r="D358" s="20" t="s">
        <v>759</v>
      </c>
      <c r="E358" s="20"/>
      <c r="F358" s="22" t="s">
        <v>789</v>
      </c>
      <c r="G358" s="23" t="s">
        <v>1204</v>
      </c>
      <c r="H358" s="57">
        <v>8.2354000000000004E-3</v>
      </c>
      <c r="I358" s="57">
        <v>0</v>
      </c>
      <c r="J358" s="119">
        <v>-34842540.119999997</v>
      </c>
    </row>
    <row r="359" spans="1:10" x14ac:dyDescent="0.25">
      <c r="A359" s="20">
        <v>358</v>
      </c>
      <c r="B359" s="21">
        <v>46034</v>
      </c>
      <c r="C359" s="20" t="s">
        <v>871</v>
      </c>
      <c r="D359" s="20" t="s">
        <v>497</v>
      </c>
      <c r="E359" s="20"/>
      <c r="F359" s="22" t="s">
        <v>916</v>
      </c>
      <c r="G359" s="23" t="s">
        <v>1205</v>
      </c>
      <c r="H359" s="57">
        <v>0</v>
      </c>
      <c r="I359" s="57">
        <v>14</v>
      </c>
      <c r="J359" s="119">
        <v>-33442540.120000001</v>
      </c>
    </row>
    <row r="360" spans="1:10" x14ac:dyDescent="0.25">
      <c r="A360" s="20">
        <v>359</v>
      </c>
      <c r="B360" s="21">
        <v>46034</v>
      </c>
      <c r="C360" s="20" t="s">
        <v>871</v>
      </c>
      <c r="D360" s="20" t="s">
        <v>759</v>
      </c>
      <c r="E360" s="20"/>
      <c r="F360" s="22" t="s">
        <v>895</v>
      </c>
      <c r="G360" s="23" t="s">
        <v>1206</v>
      </c>
      <c r="H360" s="57">
        <v>10</v>
      </c>
      <c r="I360" s="57">
        <v>0</v>
      </c>
      <c r="J360" s="119">
        <v>-34442540.119999997</v>
      </c>
    </row>
    <row r="361" spans="1:10" x14ac:dyDescent="0.25">
      <c r="A361" s="20">
        <v>360</v>
      </c>
      <c r="B361" s="21">
        <v>46034</v>
      </c>
      <c r="C361" s="20" t="s">
        <v>871</v>
      </c>
      <c r="D361" s="20" t="s">
        <v>91</v>
      </c>
      <c r="E361" s="20"/>
      <c r="F361" s="22" t="s">
        <v>884</v>
      </c>
      <c r="G361" s="23" t="s">
        <v>1207</v>
      </c>
      <c r="H361" s="57">
        <v>15</v>
      </c>
      <c r="I361" s="57">
        <v>0</v>
      </c>
      <c r="J361" s="119">
        <v>-35942540.119999997</v>
      </c>
    </row>
    <row r="362" spans="1:10" x14ac:dyDescent="0.25">
      <c r="A362" s="20">
        <v>361</v>
      </c>
      <c r="B362" s="21">
        <v>46034</v>
      </c>
      <c r="C362" s="20" t="s">
        <v>871</v>
      </c>
      <c r="D362" s="20" t="s">
        <v>759</v>
      </c>
      <c r="E362" s="20"/>
      <c r="F362" s="22" t="s">
        <v>905</v>
      </c>
      <c r="G362" s="23" t="s">
        <v>1208</v>
      </c>
      <c r="H362" s="57">
        <v>2.7482099999999998</v>
      </c>
      <c r="I362" s="57">
        <v>0</v>
      </c>
      <c r="J362" s="119">
        <v>-36217361.119999997</v>
      </c>
    </row>
    <row r="363" spans="1:10" ht="25.5" x14ac:dyDescent="0.25">
      <c r="A363" s="20">
        <v>362</v>
      </c>
      <c r="B363" s="21">
        <v>46034</v>
      </c>
      <c r="C363" s="20" t="s">
        <v>871</v>
      </c>
      <c r="D363" s="23" t="s">
        <v>885</v>
      </c>
      <c r="E363" s="20"/>
      <c r="F363" s="22" t="s">
        <v>886</v>
      </c>
      <c r="G363" s="23" t="s">
        <v>1209</v>
      </c>
      <c r="H363" s="57">
        <v>8</v>
      </c>
      <c r="I363" s="57">
        <v>0</v>
      </c>
      <c r="J363" s="119">
        <v>-37017361.119999997</v>
      </c>
    </row>
    <row r="364" spans="1:10" ht="25.5" x14ac:dyDescent="0.25">
      <c r="A364" s="20">
        <v>363</v>
      </c>
      <c r="B364" s="21">
        <v>46034</v>
      </c>
      <c r="C364" s="20" t="s">
        <v>871</v>
      </c>
      <c r="D364" s="20" t="s">
        <v>759</v>
      </c>
      <c r="E364" s="20"/>
      <c r="F364" s="22" t="s">
        <v>907</v>
      </c>
      <c r="G364" s="23" t="s">
        <v>1210</v>
      </c>
      <c r="H364" s="57">
        <v>5.3525</v>
      </c>
      <c r="I364" s="57">
        <v>0</v>
      </c>
      <c r="J364" s="119">
        <v>-37552611.119999997</v>
      </c>
    </row>
    <row r="365" spans="1:10" ht="25.5" x14ac:dyDescent="0.25">
      <c r="A365" s="20">
        <v>364</v>
      </c>
      <c r="B365" s="21">
        <v>46034</v>
      </c>
      <c r="C365" s="20" t="s">
        <v>871</v>
      </c>
      <c r="D365" s="20" t="s">
        <v>759</v>
      </c>
      <c r="E365" s="20"/>
      <c r="F365" s="22" t="s">
        <v>895</v>
      </c>
      <c r="G365" s="23" t="s">
        <v>1211</v>
      </c>
      <c r="H365" s="57">
        <v>4</v>
      </c>
      <c r="I365" s="57">
        <v>0</v>
      </c>
      <c r="J365" s="119">
        <v>-37952611.119999997</v>
      </c>
    </row>
    <row r="366" spans="1:10" ht="25.5" x14ac:dyDescent="0.25">
      <c r="A366" s="20">
        <v>365</v>
      </c>
      <c r="B366" s="21">
        <v>46034</v>
      </c>
      <c r="C366" s="20" t="s">
        <v>871</v>
      </c>
      <c r="D366" s="20" t="s">
        <v>759</v>
      </c>
      <c r="E366" s="20"/>
      <c r="F366" s="22" t="s">
        <v>769</v>
      </c>
      <c r="G366" s="23" t="s">
        <v>1212</v>
      </c>
      <c r="H366" s="57">
        <v>0.57852000000000003</v>
      </c>
      <c r="I366" s="57">
        <v>0</v>
      </c>
      <c r="J366" s="119">
        <v>-38010463.119999997</v>
      </c>
    </row>
    <row r="367" spans="1:10" ht="25.5" x14ac:dyDescent="0.25">
      <c r="A367" s="20">
        <v>366</v>
      </c>
      <c r="B367" s="21">
        <v>46034</v>
      </c>
      <c r="C367" s="20" t="s">
        <v>871</v>
      </c>
      <c r="D367" s="20" t="s">
        <v>759</v>
      </c>
      <c r="E367" s="20"/>
      <c r="F367" s="22" t="s">
        <v>912</v>
      </c>
      <c r="G367" s="23" t="s">
        <v>1213</v>
      </c>
      <c r="H367" s="57">
        <v>1</v>
      </c>
      <c r="I367" s="57">
        <v>0</v>
      </c>
      <c r="J367" s="119">
        <v>-38110463.119999997</v>
      </c>
    </row>
    <row r="368" spans="1:10" ht="25.5" x14ac:dyDescent="0.25">
      <c r="A368" s="20">
        <v>367</v>
      </c>
      <c r="B368" s="21">
        <v>46034</v>
      </c>
      <c r="C368" s="20" t="s">
        <v>871</v>
      </c>
      <c r="D368" s="20" t="s">
        <v>759</v>
      </c>
      <c r="E368" s="20"/>
      <c r="F368" s="22" t="s">
        <v>900</v>
      </c>
      <c r="G368" s="23" t="s">
        <v>1214</v>
      </c>
      <c r="H368" s="57">
        <v>1</v>
      </c>
      <c r="I368" s="57">
        <v>0</v>
      </c>
      <c r="J368" s="119">
        <v>-38210463.119999997</v>
      </c>
    </row>
    <row r="369" spans="1:10" ht="25.5" x14ac:dyDescent="0.25">
      <c r="A369" s="20">
        <v>368</v>
      </c>
      <c r="B369" s="21">
        <v>46035</v>
      </c>
      <c r="C369" s="20" t="s">
        <v>871</v>
      </c>
      <c r="D369" s="23" t="s">
        <v>885</v>
      </c>
      <c r="E369" s="20"/>
      <c r="F369" s="22" t="s">
        <v>886</v>
      </c>
      <c r="G369" s="23" t="s">
        <v>1215</v>
      </c>
      <c r="H369" s="57">
        <v>2</v>
      </c>
      <c r="I369" s="57">
        <v>0</v>
      </c>
      <c r="J369" s="119">
        <v>-38410463.119999997</v>
      </c>
    </row>
    <row r="370" spans="1:10" x14ac:dyDescent="0.25">
      <c r="A370" s="20">
        <v>369</v>
      </c>
      <c r="B370" s="21">
        <v>46035</v>
      </c>
      <c r="C370" s="20" t="s">
        <v>871</v>
      </c>
      <c r="D370" s="20" t="s">
        <v>91</v>
      </c>
      <c r="E370" s="20"/>
      <c r="F370" s="22" t="s">
        <v>884</v>
      </c>
      <c r="G370" s="23" t="s">
        <v>1216</v>
      </c>
      <c r="H370" s="57">
        <v>5</v>
      </c>
      <c r="I370" s="57">
        <v>0</v>
      </c>
      <c r="J370" s="119">
        <v>-38910463.119999997</v>
      </c>
    </row>
    <row r="371" spans="1:10" x14ac:dyDescent="0.25">
      <c r="A371" s="20">
        <v>370</v>
      </c>
      <c r="B371" s="21">
        <v>46035</v>
      </c>
      <c r="C371" s="20" t="s">
        <v>871</v>
      </c>
      <c r="D371" s="20" t="s">
        <v>91</v>
      </c>
      <c r="E371" s="20"/>
      <c r="F371" s="22" t="s">
        <v>884</v>
      </c>
      <c r="G371" s="23" t="s">
        <v>1217</v>
      </c>
      <c r="H371" s="57">
        <v>5</v>
      </c>
      <c r="I371" s="57">
        <v>0</v>
      </c>
      <c r="J371" s="119">
        <v>-39410463.119999997</v>
      </c>
    </row>
    <row r="372" spans="1:10" x14ac:dyDescent="0.25">
      <c r="A372" s="20">
        <v>371</v>
      </c>
      <c r="B372" s="21">
        <v>46035</v>
      </c>
      <c r="C372" s="20" t="s">
        <v>871</v>
      </c>
      <c r="D372" s="20" t="s">
        <v>759</v>
      </c>
      <c r="E372" s="20"/>
      <c r="F372" s="22" t="s">
        <v>770</v>
      </c>
      <c r="G372" s="23" t="s">
        <v>1218</v>
      </c>
      <c r="H372" s="57">
        <v>0.6</v>
      </c>
      <c r="I372" s="57">
        <v>0</v>
      </c>
      <c r="J372" s="119">
        <v>-39470463.119999997</v>
      </c>
    </row>
    <row r="373" spans="1:10" x14ac:dyDescent="0.25">
      <c r="A373" s="20">
        <v>372</v>
      </c>
      <c r="B373" s="21">
        <v>46035</v>
      </c>
      <c r="C373" s="20" t="s">
        <v>871</v>
      </c>
      <c r="D373" s="20" t="s">
        <v>497</v>
      </c>
      <c r="E373" s="20"/>
      <c r="F373" s="22" t="s">
        <v>895</v>
      </c>
      <c r="G373" s="23" t="s">
        <v>1219</v>
      </c>
      <c r="H373" s="57">
        <v>0</v>
      </c>
      <c r="I373" s="57">
        <v>40</v>
      </c>
      <c r="J373" s="119">
        <v>-35470463.119999997</v>
      </c>
    </row>
    <row r="374" spans="1:10" x14ac:dyDescent="0.25">
      <c r="A374" s="20">
        <v>373</v>
      </c>
      <c r="B374" s="21">
        <v>46036</v>
      </c>
      <c r="C374" s="20" t="s">
        <v>871</v>
      </c>
      <c r="D374" s="20" t="s">
        <v>497</v>
      </c>
      <c r="E374" s="20"/>
      <c r="F374" s="22" t="s">
        <v>895</v>
      </c>
      <c r="G374" s="23" t="s">
        <v>1220</v>
      </c>
      <c r="H374" s="57">
        <v>0</v>
      </c>
      <c r="I374" s="57">
        <v>30</v>
      </c>
      <c r="J374" s="119">
        <v>-32470463.120000001</v>
      </c>
    </row>
    <row r="375" spans="1:10" x14ac:dyDescent="0.25">
      <c r="A375" s="20">
        <v>374</v>
      </c>
      <c r="B375" s="21">
        <v>46036</v>
      </c>
      <c r="C375" s="20" t="s">
        <v>871</v>
      </c>
      <c r="D375" s="20" t="s">
        <v>91</v>
      </c>
      <c r="E375" s="20"/>
      <c r="F375" s="22" t="s">
        <v>884</v>
      </c>
      <c r="G375" s="23" t="s">
        <v>920</v>
      </c>
      <c r="H375" s="57">
        <v>0</v>
      </c>
      <c r="I375" s="57">
        <v>5</v>
      </c>
      <c r="J375" s="119">
        <v>-31970463.120000001</v>
      </c>
    </row>
    <row r="376" spans="1:10" ht="25.5" x14ac:dyDescent="0.25">
      <c r="A376" s="20">
        <v>375</v>
      </c>
      <c r="B376" s="21">
        <v>46036</v>
      </c>
      <c r="C376" s="20" t="s">
        <v>871</v>
      </c>
      <c r="D376" s="20" t="s">
        <v>787</v>
      </c>
      <c r="E376" s="20"/>
      <c r="F376" s="22" t="s">
        <v>877</v>
      </c>
      <c r="G376" s="23" t="s">
        <v>1221</v>
      </c>
      <c r="H376" s="57">
        <v>80</v>
      </c>
      <c r="I376" s="57">
        <v>0</v>
      </c>
      <c r="J376" s="119">
        <v>-39970463.119999997</v>
      </c>
    </row>
    <row r="377" spans="1:10" x14ac:dyDescent="0.25">
      <c r="A377" s="20">
        <v>376</v>
      </c>
      <c r="B377" s="21">
        <v>46041</v>
      </c>
      <c r="C377" s="20" t="s">
        <v>871</v>
      </c>
      <c r="D377" s="20" t="s">
        <v>759</v>
      </c>
      <c r="E377" s="20"/>
      <c r="F377" s="22" t="s">
        <v>908</v>
      </c>
      <c r="G377" s="23" t="s">
        <v>1222</v>
      </c>
      <c r="H377" s="57">
        <v>0.05</v>
      </c>
      <c r="I377" s="57">
        <v>0</v>
      </c>
      <c r="J377" s="119">
        <v>-39975463.119999997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19"/>
  <sheetViews>
    <sheetView workbookViewId="0">
      <selection activeCell="Q9" sqref="Q9"/>
    </sheetView>
  </sheetViews>
  <sheetFormatPr defaultRowHeight="18" customHeight="1" x14ac:dyDescent="0.25"/>
  <cols>
    <col min="4" max="4" width="14.7109375" customWidth="1"/>
    <col min="5" max="5" width="14.85546875" customWidth="1"/>
    <col min="6" max="6" width="14.5703125" customWidth="1"/>
    <col min="7" max="7" width="15.28515625" bestFit="1" customWidth="1"/>
    <col min="8" max="8" width="14.28515625" bestFit="1" customWidth="1"/>
    <col min="9" max="9" width="13" customWidth="1"/>
    <col min="10" max="10" width="15.28515625" bestFit="1" customWidth="1"/>
  </cols>
  <sheetData>
    <row r="2" spans="4:10" ht="18" customHeight="1" x14ac:dyDescent="0.25">
      <c r="D2" s="81" t="s">
        <v>858</v>
      </c>
      <c r="E2" s="82"/>
      <c r="F2" s="82"/>
      <c r="G2" s="82"/>
      <c r="H2" s="82"/>
      <c r="I2" s="82"/>
      <c r="J2" s="83"/>
    </row>
    <row r="3" spans="4:10" ht="18" customHeight="1" x14ac:dyDescent="0.25">
      <c r="D3" s="84"/>
      <c r="E3" s="85"/>
      <c r="F3" s="85"/>
      <c r="G3" s="85"/>
      <c r="H3" s="85"/>
      <c r="I3" s="85"/>
      <c r="J3" s="86"/>
    </row>
    <row r="5" spans="4:10" ht="75" x14ac:dyDescent="0.25">
      <c r="D5" s="43" t="s">
        <v>81</v>
      </c>
      <c r="E5" s="44" t="s">
        <v>859</v>
      </c>
      <c r="F5" s="44" t="s">
        <v>1223</v>
      </c>
      <c r="G5" s="45" t="s">
        <v>840</v>
      </c>
      <c r="H5" s="44" t="s">
        <v>860</v>
      </c>
      <c r="I5" s="44" t="s">
        <v>1224</v>
      </c>
      <c r="J5" s="45" t="s">
        <v>841</v>
      </c>
    </row>
    <row r="6" spans="4:10" ht="18" customHeight="1" x14ac:dyDescent="0.25">
      <c r="D6" s="46"/>
      <c r="E6" s="47"/>
      <c r="F6" s="47"/>
      <c r="G6" s="48"/>
      <c r="H6" s="47"/>
      <c r="I6" s="47"/>
      <c r="J6" s="48"/>
    </row>
    <row r="7" spans="4:10" ht="18" customHeight="1" x14ac:dyDescent="0.25">
      <c r="D7" s="46" t="s">
        <v>89</v>
      </c>
      <c r="E7" s="47">
        <f>GETPIVOTDATA("Sum of DR",'PIVOT-TMB-5048-CA'!$A$6,"MONTH","AUG","TYPE","PURCHASE")</f>
        <v>356.22739540000009</v>
      </c>
      <c r="F7" s="47">
        <f>GETPIVOTDATA("Sum of DR",'PIVOT-TMB-0123-OD'!$A$5,"MONTH","AUG","TYPE","PURCHASE")</f>
        <v>37.6511754</v>
      </c>
      <c r="G7" s="48">
        <f>SUM(E7:F7)</f>
        <v>393.87857080000009</v>
      </c>
      <c r="H7" s="47">
        <f>GETPIVOTDATA("Sum of CR",'PIVOT-TMB-5048-CA'!$A$6,"MONTH","AUG","TYPE","SALES")</f>
        <v>263.14774999999997</v>
      </c>
      <c r="I7" s="47">
        <f>GETPIVOTDATA("Sum of CR",'PIVOT-TMB-0123-OD'!$A$5,"MONTH","AUG","TYPE","SALES")</f>
        <v>150.54266999999999</v>
      </c>
      <c r="J7" s="48">
        <f>SUM(H7:I7)</f>
        <v>413.69041999999996</v>
      </c>
    </row>
    <row r="8" spans="4:10" ht="18" customHeight="1" x14ac:dyDescent="0.25">
      <c r="D8" s="46"/>
      <c r="E8" s="47"/>
      <c r="F8" s="47"/>
      <c r="G8" s="48"/>
      <c r="H8" s="47"/>
      <c r="I8" s="47"/>
      <c r="J8" s="48"/>
    </row>
    <row r="9" spans="4:10" ht="18" customHeight="1" x14ac:dyDescent="0.25">
      <c r="D9" s="46" t="s">
        <v>224</v>
      </c>
      <c r="E9" s="47">
        <f>GETPIVOTDATA("Sum of DR",'PIVOT-TMB-5048-CA'!$A$6,"MONTH","SEP","TYPE","PURCHASE")</f>
        <v>393.78004210000006</v>
      </c>
      <c r="F9" s="47">
        <f>GETPIVOTDATA("Sum of DR",'PIVOT-TMB-0123-OD'!$A$5,"MONTH","SEP","TYPE","PURCHASE")</f>
        <v>20.096544200000004</v>
      </c>
      <c r="G9" s="48">
        <f>SUM(E9:F9)</f>
        <v>413.87658630000004</v>
      </c>
      <c r="H9" s="47">
        <f>GETPIVOTDATA("Sum of CR",'PIVOT-TMB-5048-CA'!$A$6,"MONTH","SEP","TYPE","SALES")</f>
        <v>350.70610599999998</v>
      </c>
      <c r="I9" s="47">
        <f>GETPIVOTDATA("Sum of CR",'PIVOT-TMB-0123-OD'!$A$5,"MONTH","SEP","TYPE","SALES")</f>
        <v>140.73594</v>
      </c>
      <c r="J9" s="48">
        <f>SUM(H9:I9)</f>
        <v>491.442046</v>
      </c>
    </row>
    <row r="10" spans="4:10" ht="18" customHeight="1" x14ac:dyDescent="0.25">
      <c r="D10" s="46"/>
      <c r="E10" s="47"/>
      <c r="F10" s="47"/>
      <c r="G10" s="48"/>
      <c r="H10" s="47"/>
      <c r="I10" s="47"/>
      <c r="J10" s="48"/>
    </row>
    <row r="11" spans="4:10" ht="18" customHeight="1" x14ac:dyDescent="0.25">
      <c r="D11" s="46" t="s">
        <v>383</v>
      </c>
      <c r="E11" s="47">
        <f>GETPIVOTDATA("Sum of DR",'PIVOT-TMB-5048-CA'!$A$6,"MONTH","OCT","TYPE","PURCHASE")</f>
        <v>309.54647970000002</v>
      </c>
      <c r="F11" s="47">
        <f>GETPIVOTDATA("Sum of DR",'PIVOT-TMB-0123-OD'!$A$5,"MONTH","OCT","TYPE","PURCHASE")</f>
        <v>4.8508800000000001</v>
      </c>
      <c r="G11" s="48">
        <f>SUM(E11:F11)</f>
        <v>314.39735970000004</v>
      </c>
      <c r="H11" s="47">
        <f>GETPIVOTDATA("Sum of CR",'PIVOT-TMB-5048-CA'!$A$6,"MONTH","OCT","TYPE","SALES")</f>
        <v>276.61912000000001</v>
      </c>
      <c r="I11" s="47">
        <f>GETPIVOTDATA("Sum of CR",'PIVOT-TMB-0123-OD'!$A$5,"MONTH","OCT","TYPE","SALES")</f>
        <v>39.500613799999996</v>
      </c>
      <c r="J11" s="48">
        <f>SUM(H11:I11)</f>
        <v>316.11973380000001</v>
      </c>
    </row>
    <row r="12" spans="4:10" ht="18" customHeight="1" x14ac:dyDescent="0.25">
      <c r="D12" s="46"/>
      <c r="E12" s="47"/>
      <c r="F12" s="47"/>
      <c r="G12" s="48"/>
      <c r="H12" s="47"/>
      <c r="I12" s="47"/>
      <c r="J12" s="48"/>
    </row>
    <row r="13" spans="4:10" ht="18" customHeight="1" x14ac:dyDescent="0.25">
      <c r="D13" s="46" t="s">
        <v>474</v>
      </c>
      <c r="E13" s="47">
        <f>GETPIVOTDATA("Sum of DR",'PIVOT-TMB-5048-CA'!$A$6,"MONTH","NOV","TYPE","PURCHASE")</f>
        <v>367.13839620000005</v>
      </c>
      <c r="F13" s="47">
        <f>GETPIVOTDATA("Sum of DR",'PIVOT-TMB-0123-OD'!$A$5,"MONTH","NOV","TYPE","PURCHASE")</f>
        <v>61.027730400000003</v>
      </c>
      <c r="G13" s="48">
        <f>SUM(E13:F13)</f>
        <v>428.16612660000004</v>
      </c>
      <c r="H13" s="47">
        <f>GETPIVOTDATA("Sum of CR",'PIVOT-TMB-5048-CA'!$A$6,"MONTH","NOV","TYPE","SALES")</f>
        <v>305.08930999999995</v>
      </c>
      <c r="I13" s="47">
        <f>GETPIVOTDATA("Sum of CR",'PIVOT-TMB-0123-OD'!$A$5,"MONTH","NOV","TYPE","SALES")</f>
        <v>149.63174000000001</v>
      </c>
      <c r="J13" s="48">
        <f>SUM(H13:I13)</f>
        <v>454.72104999999999</v>
      </c>
    </row>
    <row r="14" spans="4:10" ht="18" customHeight="1" x14ac:dyDescent="0.25">
      <c r="D14" s="46"/>
      <c r="E14" s="47"/>
      <c r="F14" s="47"/>
      <c r="G14" s="48"/>
      <c r="H14" s="47"/>
      <c r="I14" s="47"/>
      <c r="J14" s="48"/>
    </row>
    <row r="15" spans="4:10" ht="18" customHeight="1" x14ac:dyDescent="0.25">
      <c r="D15" s="46" t="s">
        <v>581</v>
      </c>
      <c r="E15" s="47">
        <f>GETPIVOTDATA("Sum of DR",'PIVOT-TMB-5048-CA'!$A$6,"MONTH","DEC","TYPE","PURCHASE")</f>
        <v>319.31888000000004</v>
      </c>
      <c r="F15" s="47">
        <f>GETPIVOTDATA("Sum of DR",'PIVOT-TMB-0123-OD'!$A$5,"MONTH","DEC","TYPE","PURCHASE")</f>
        <v>30.110440000000001</v>
      </c>
      <c r="G15" s="48">
        <f>SUM(E15:F15)</f>
        <v>349.42932000000002</v>
      </c>
      <c r="H15" s="47">
        <f>GETPIVOTDATA("Sum of CR",'PIVOT-TMB-5048-CA'!$A$6,"MONTH","DEC","TYPE","SALES")</f>
        <v>277.86643000000004</v>
      </c>
      <c r="I15" s="47">
        <f>GETPIVOTDATA("Sum of CR",'PIVOT-TMB-0123-OD'!$A$5,"MONTH","DEC","TYPE","SALES")</f>
        <v>101.20001000000001</v>
      </c>
      <c r="J15" s="48">
        <f>SUM(H15:I15)</f>
        <v>379.06644000000006</v>
      </c>
    </row>
    <row r="16" spans="4:10" ht="18" customHeight="1" x14ac:dyDescent="0.25">
      <c r="D16" s="46"/>
      <c r="E16" s="47"/>
      <c r="F16" s="47"/>
      <c r="G16" s="48"/>
      <c r="H16" s="47"/>
      <c r="I16" s="47"/>
      <c r="J16" s="48"/>
    </row>
    <row r="17" spans="4:10" ht="18" customHeight="1" x14ac:dyDescent="0.25">
      <c r="D17" s="46" t="s">
        <v>842</v>
      </c>
      <c r="E17" s="47">
        <f>GETPIVOTDATA("Sum of DR",'PIVOT-TMB-5048-CA'!$A$6,"MONTH","JAN(26)","TYPE","PURCHASE")</f>
        <v>142.59930080000001</v>
      </c>
      <c r="F17" s="47">
        <f>GETPIVOTDATA("Sum of DR",'PIVOT-TMB-0123-OD'!$A$5,"MONTH","JAN","TYPE","PURCHASE")</f>
        <v>36.005365400000002</v>
      </c>
      <c r="G17" s="48">
        <f>SUM(E17:F17)</f>
        <v>178.6046662</v>
      </c>
      <c r="H17" s="47">
        <f>GETPIVOTDATA("Sum of CR",'PIVOT-TMB-5048-CA'!$A$6,"MONTH","JAN(26)","TYPE","SALES")</f>
        <v>109.39409239999999</v>
      </c>
      <c r="I17" s="47">
        <f>GETPIVOTDATA("Sum of CR",'PIVOT-TMB-0123-OD'!$A$5,"MONTH","JAN","TYPE","SALES")</f>
        <v>153</v>
      </c>
      <c r="J17" s="48">
        <f>SUM(H17:I17)</f>
        <v>262.39409239999998</v>
      </c>
    </row>
    <row r="18" spans="4:10" ht="18" customHeight="1" x14ac:dyDescent="0.25">
      <c r="D18" s="46"/>
      <c r="E18" s="47"/>
      <c r="F18" s="47"/>
      <c r="G18" s="48"/>
      <c r="H18" s="47"/>
      <c r="I18" s="47"/>
      <c r="J18" s="48"/>
    </row>
    <row r="19" spans="4:10" ht="58.5" customHeight="1" x14ac:dyDescent="0.25">
      <c r="D19" s="46"/>
      <c r="E19" s="87" t="s">
        <v>843</v>
      </c>
      <c r="F19" s="88"/>
      <c r="G19" s="49">
        <f>SUM(G6:G18)</f>
        <v>2078.3526296000005</v>
      </c>
      <c r="H19" s="87" t="s">
        <v>844</v>
      </c>
      <c r="I19" s="88"/>
      <c r="J19" s="49">
        <f>SUM(J6:J18)</f>
        <v>2317.4337821999998</v>
      </c>
    </row>
  </sheetData>
  <mergeCells count="3">
    <mergeCell ref="D2:J3"/>
    <mergeCell ref="E19:F19"/>
    <mergeCell ref="H19:I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3:H24"/>
  <sheetViews>
    <sheetView workbookViewId="0">
      <selection sqref="A1:XFD1048576"/>
    </sheetView>
  </sheetViews>
  <sheetFormatPr defaultRowHeight="15" x14ac:dyDescent="0.25"/>
  <cols>
    <col min="7" max="7" width="51.7109375" customWidth="1"/>
    <col min="8" max="8" width="45.5703125" customWidth="1"/>
  </cols>
  <sheetData>
    <row r="13" spans="7:8" ht="15.75" thickBot="1" x14ac:dyDescent="0.3"/>
    <row r="14" spans="7:8" ht="15.75" thickBot="1" x14ac:dyDescent="0.3">
      <c r="G14" s="50" t="s">
        <v>845</v>
      </c>
      <c r="H14" s="51" t="s">
        <v>846</v>
      </c>
    </row>
    <row r="15" spans="7:8" ht="15.75" thickBot="1" x14ac:dyDescent="0.3">
      <c r="G15" s="52" t="s">
        <v>847</v>
      </c>
      <c r="H15" s="51" t="s">
        <v>846</v>
      </c>
    </row>
    <row r="16" spans="7:8" ht="15.75" thickBot="1" x14ac:dyDescent="0.3">
      <c r="G16" s="52" t="s">
        <v>848</v>
      </c>
      <c r="H16" s="51" t="s">
        <v>846</v>
      </c>
    </row>
    <row r="17" spans="7:8" ht="15.75" thickBot="1" x14ac:dyDescent="0.3">
      <c r="G17" s="52" t="s">
        <v>849</v>
      </c>
      <c r="H17" s="51" t="s">
        <v>850</v>
      </c>
    </row>
    <row r="18" spans="7:8" ht="15.75" thickBot="1" x14ac:dyDescent="0.3">
      <c r="G18" s="52" t="s">
        <v>851</v>
      </c>
      <c r="H18" s="51" t="s">
        <v>846</v>
      </c>
    </row>
    <row r="19" spans="7:8" ht="15.75" thickBot="1" x14ac:dyDescent="0.3">
      <c r="G19" s="52" t="s">
        <v>852</v>
      </c>
      <c r="H19" s="51" t="s">
        <v>846</v>
      </c>
    </row>
    <row r="20" spans="7:8" ht="15.75" thickBot="1" x14ac:dyDescent="0.3">
      <c r="G20" s="52" t="s">
        <v>853</v>
      </c>
      <c r="H20" s="53" t="s">
        <v>850</v>
      </c>
    </row>
    <row r="21" spans="7:8" ht="15.75" thickBot="1" x14ac:dyDescent="0.3">
      <c r="G21" s="52" t="s">
        <v>854</v>
      </c>
      <c r="H21" s="53" t="s">
        <v>855</v>
      </c>
    </row>
    <row r="22" spans="7:8" ht="15.75" thickBot="1" x14ac:dyDescent="0.3">
      <c r="G22" s="52" t="s">
        <v>856</v>
      </c>
      <c r="H22" s="54"/>
    </row>
    <row r="23" spans="7:8" ht="15.75" thickBot="1" x14ac:dyDescent="0.3">
      <c r="G23" s="55" t="s">
        <v>857</v>
      </c>
      <c r="H23" s="56"/>
    </row>
    <row r="24" spans="7:8" ht="41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ANALYSIS</vt:lpstr>
      <vt:lpstr>ODD FIG</vt:lpstr>
      <vt:lpstr>DOUBT</vt:lpstr>
      <vt:lpstr>BANK FIN</vt:lpstr>
      <vt:lpstr>PVT FIN</vt:lpstr>
      <vt:lpstr>RETURN</vt:lpstr>
      <vt:lpstr>PIVOT-TMB-5048-CA</vt:lpstr>
      <vt:lpstr>XNS-TMB-5048-CA</vt:lpstr>
      <vt:lpstr>PIVOT-TMB-0123-OD</vt:lpstr>
      <vt:lpstr>XNS-TMB-0123-OD</vt:lpstr>
      <vt:lpstr>CONS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Akhila M</cp:lastModifiedBy>
  <dcterms:created xsi:type="dcterms:W3CDTF">2026-02-05T09:31:14Z</dcterms:created>
  <dcterms:modified xsi:type="dcterms:W3CDTF">2026-02-05T11:54:20Z</dcterms:modified>
</cp:coreProperties>
</file>